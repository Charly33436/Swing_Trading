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E:\Bourse\"/>
    </mc:Choice>
  </mc:AlternateContent>
  <xr:revisionPtr revIDLastSave="0" documentId="13_ncr:1_{581A8124-F287-4DB9-808C-1CBBC007291E}" xr6:coauthVersionLast="47" xr6:coauthVersionMax="47" xr10:uidLastSave="{00000000-0000-0000-0000-000000000000}"/>
  <bookViews>
    <workbookView xWindow="-103" yWindow="-103" windowWidth="33120" windowHeight="18000" activeTab="1" xr2:uid="{00000000-000D-0000-FFFF-FFFF00000000}"/>
  </bookViews>
  <sheets>
    <sheet name="Donnees" sheetId="1" r:id="rId1"/>
    <sheet name="Suivi" sheetId="2" r:id="rId2"/>
    <sheet name="Commentaires" sheetId="3" r:id="rId3"/>
  </sheets>
  <externalReferences>
    <externalReference r:id="rId4"/>
  </externalReferences>
  <definedNames>
    <definedName name="cours">[1]Cours!$A$2:$H$3000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8" i="2" l="1"/>
  <c r="G77" i="2"/>
  <c r="G76" i="2"/>
  <c r="G75" i="2"/>
  <c r="G74" i="2"/>
  <c r="G73" i="2"/>
  <c r="G72" i="2"/>
  <c r="G71" i="2"/>
  <c r="G70" i="2"/>
  <c r="G69" i="2"/>
  <c r="G39" i="2"/>
  <c r="G38" i="2"/>
  <c r="G37" i="2"/>
  <c r="G36" i="2"/>
  <c r="G35" i="2"/>
  <c r="G34" i="2"/>
  <c r="G33" i="2"/>
  <c r="G32" i="2"/>
  <c r="G31" i="2"/>
  <c r="G30" i="2"/>
  <c r="G25" i="2"/>
  <c r="G24" i="2"/>
  <c r="G23" i="2"/>
  <c r="G22" i="2"/>
  <c r="G21" i="2"/>
  <c r="G20" i="2"/>
  <c r="G19" i="2"/>
  <c r="G18" i="2"/>
  <c r="G17" i="2"/>
  <c r="G16" i="2"/>
  <c r="G11" i="2"/>
  <c r="G10" i="2"/>
  <c r="G9" i="2"/>
  <c r="G8" i="2"/>
  <c r="G7" i="2"/>
  <c r="G6" i="2"/>
  <c r="G5" i="2"/>
  <c r="G4" i="2"/>
  <c r="G3" i="2"/>
  <c r="G2" i="2"/>
  <c r="G52" i="1"/>
  <c r="G51" i="1"/>
  <c r="G50" i="1"/>
  <c r="G49" i="1"/>
  <c r="G48" i="1"/>
  <c r="G47" i="1"/>
  <c r="G46" i="1"/>
  <c r="G45" i="1"/>
  <c r="G44" i="1"/>
  <c r="G43" i="1"/>
  <c r="G39" i="1"/>
  <c r="G38" i="1"/>
  <c r="G37" i="1"/>
  <c r="G36" i="1"/>
  <c r="G35" i="1"/>
  <c r="G34" i="1"/>
  <c r="G33" i="1"/>
  <c r="G32" i="1"/>
  <c r="G31" i="1"/>
  <c r="G30" i="1"/>
  <c r="G25" i="1"/>
  <c r="G24" i="1"/>
  <c r="G23" i="1"/>
  <c r="G22" i="1"/>
  <c r="G21" i="1"/>
  <c r="G20" i="1"/>
  <c r="G19" i="1"/>
  <c r="G18" i="1"/>
  <c r="G17" i="1"/>
  <c r="G16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<sst xmlns="http://schemas.openxmlformats.org/spreadsheetml/2006/main" count="397" uniqueCount="166">
  <si>
    <t>Code</t>
  </si>
  <si>
    <t>Marché</t>
  </si>
  <si>
    <t>Valeur</t>
  </si>
  <si>
    <t>RECO</t>
  </si>
  <si>
    <t>COURS</t>
  </si>
  <si>
    <t>ECART</t>
  </si>
  <si>
    <t>Les valeurs qui montent 📈 avec des volumes 👍:</t>
  </si>
  <si>
    <t>RCO</t>
  </si>
  <si>
    <t>SRD</t>
  </si>
  <si>
    <t>REMY COINTREAU</t>
  </si>
  <si>
    <t>DEC</t>
  </si>
  <si>
    <t>JCDECAUX</t>
  </si>
  <si>
    <t>ETL</t>
  </si>
  <si>
    <t>EUTELSAT COMMUNICATION</t>
  </si>
  <si>
    <t>GLO</t>
  </si>
  <si>
    <t>GL EVENTS</t>
  </si>
  <si>
    <t>SW</t>
  </si>
  <si>
    <t>SODEXO</t>
  </si>
  <si>
    <t>ENX</t>
  </si>
  <si>
    <t>EURONEXT</t>
  </si>
  <si>
    <t>TTE</t>
  </si>
  <si>
    <t>TOTALENERGIES</t>
  </si>
  <si>
    <t>VIE</t>
  </si>
  <si>
    <t>VEOLIA ENVIRONNEMENT</t>
  </si>
  <si>
    <t>VANTI</t>
  </si>
  <si>
    <t>B</t>
  </si>
  <si>
    <t>VANTIVA</t>
  </si>
  <si>
    <t>COTY</t>
  </si>
  <si>
    <t>Moyenne</t>
  </si>
  <si>
    <t>nb &gt; 0</t>
  </si>
  <si>
    <t xml:space="preserve"> </t>
  </si>
  <si>
    <t>Les valeurs qui baissent 📉 avec des volumes 👎:</t>
  </si>
  <si>
    <t>FDE</t>
  </si>
  <si>
    <t>FRANCAISE ENER</t>
  </si>
  <si>
    <t>DKUPL</t>
  </si>
  <si>
    <t>DEKUPLE</t>
  </si>
  <si>
    <t>CDI</t>
  </si>
  <si>
    <t>CHRISTIAN DIOR</t>
  </si>
  <si>
    <t>ABNX</t>
  </si>
  <si>
    <t>ABIONYX PHARMA</t>
  </si>
  <si>
    <t>GBT</t>
  </si>
  <si>
    <t>GUERBET</t>
  </si>
  <si>
    <t>EQS</t>
  </si>
  <si>
    <t>EQUASENS</t>
  </si>
  <si>
    <t>VCT</t>
  </si>
  <si>
    <t>VICAT</t>
  </si>
  <si>
    <t>EXA</t>
  </si>
  <si>
    <t>EXAIL TECH</t>
  </si>
  <si>
    <t>GNFT</t>
  </si>
  <si>
    <t>GENFIT</t>
  </si>
  <si>
    <t>SMCP</t>
  </si>
  <si>
    <t>Les Smallcaps qui montent 📈 avec des volumes 👍:</t>
  </si>
  <si>
    <t>ALWTR</t>
  </si>
  <si>
    <t>EG</t>
  </si>
  <si>
    <t>WATERA</t>
  </si>
  <si>
    <t>ALAVI</t>
  </si>
  <si>
    <t>ADVINI</t>
  </si>
  <si>
    <t>ALWEC</t>
  </si>
  <si>
    <t>WE.CONNECT</t>
  </si>
  <si>
    <t>ALATI</t>
  </si>
  <si>
    <t>C</t>
  </si>
  <si>
    <t>ACTIA GROUP</t>
  </si>
  <si>
    <t>ALAGO</t>
  </si>
  <si>
    <t>E-PANGO</t>
  </si>
  <si>
    <t>ALECO</t>
  </si>
  <si>
    <t>ECOMIAM</t>
  </si>
  <si>
    <t>ALPRG</t>
  </si>
  <si>
    <t>PROLOGUE</t>
  </si>
  <si>
    <t>WAGA</t>
  </si>
  <si>
    <t>WAGA ENERGY</t>
  </si>
  <si>
    <t>ALJXR</t>
  </si>
  <si>
    <t xml:space="preserve">ARCHOS          </t>
  </si>
  <si>
    <t>ALLIX</t>
  </si>
  <si>
    <t>WALLIX GROUP</t>
  </si>
  <si>
    <t>Les valeurs de confiance pour le LT👍:</t>
  </si>
  <si>
    <t>PLX</t>
  </si>
  <si>
    <t>PLUXEE</t>
  </si>
  <si>
    <t>ABCA</t>
  </si>
  <si>
    <t>ABC ARBITRAGE</t>
  </si>
  <si>
    <t>Conseil+</t>
  </si>
  <si>
    <t xml:space="preserve">Etoiles </t>
  </si>
  <si>
    <t>Décote</t>
  </si>
  <si>
    <t>Colonne2</t>
  </si>
  <si>
    <t>Etoiles Small</t>
  </si>
  <si>
    <t>Colonne3</t>
  </si>
  <si>
    <t>Confiance Small</t>
  </si>
  <si>
    <t>ATE</t>
  </si>
  <si>
    <t>ALTEN</t>
  </si>
  <si>
    <t>EC</t>
  </si>
  <si>
    <t>TOTAL GABON</t>
  </si>
  <si>
    <t>SK</t>
  </si>
  <si>
    <t>SEB</t>
  </si>
  <si>
    <t>VETO</t>
  </si>
  <si>
    <t>VETOQUINOL</t>
  </si>
  <si>
    <t>CAP</t>
  </si>
  <si>
    <t>CAP GEMINI</t>
  </si>
  <si>
    <t>SWP</t>
  </si>
  <si>
    <t>SWORD GROUP</t>
  </si>
  <si>
    <t>SOP</t>
  </si>
  <si>
    <t>SOPRA STERIA GROUP</t>
  </si>
  <si>
    <t>RUI</t>
  </si>
  <si>
    <t>RUBIS</t>
  </si>
  <si>
    <t>VIRI</t>
  </si>
  <si>
    <t>VIRIDIEN</t>
  </si>
  <si>
    <t>DSY</t>
  </si>
  <si>
    <t>DASSAULT SYSTEMES</t>
  </si>
  <si>
    <t>ATEME</t>
  </si>
  <si>
    <t>AB</t>
  </si>
  <si>
    <t>AB SCIENCE</t>
  </si>
  <si>
    <t>ALTA</t>
  </si>
  <si>
    <t>ALTAREA</t>
  </si>
  <si>
    <t>ERA</t>
  </si>
  <si>
    <t>ERAMET</t>
  </si>
  <si>
    <t>NACON</t>
  </si>
  <si>
    <t>STLAP</t>
  </si>
  <si>
    <t>STELLANTIS</t>
  </si>
  <si>
    <t>UBI</t>
  </si>
  <si>
    <t>UBISOFT</t>
  </si>
  <si>
    <t>FGA</t>
  </si>
  <si>
    <t>FIGEAC AERO</t>
  </si>
  <si>
    <t>FRVIA</t>
  </si>
  <si>
    <t>FORVIA</t>
  </si>
  <si>
    <t>VLTSA</t>
  </si>
  <si>
    <t>VOLTALIA</t>
  </si>
  <si>
    <t>ALTME</t>
  </si>
  <si>
    <t>TME PHARMA</t>
  </si>
  <si>
    <t>ALHAF</t>
  </si>
  <si>
    <t>HAFFNER ENERGY</t>
  </si>
  <si>
    <t>ALCPB</t>
  </si>
  <si>
    <t>CAPITAL B</t>
  </si>
  <si>
    <t>ALGRO</t>
  </si>
  <si>
    <t>GROLLEAU</t>
  </si>
  <si>
    <t>ALAGR</t>
  </si>
  <si>
    <t>AGROGENERATION</t>
  </si>
  <si>
    <t>DEEZR</t>
  </si>
  <si>
    <t>DEEZER</t>
  </si>
  <si>
    <t>ALHG</t>
  </si>
  <si>
    <t>LOUIS HACHETTE</t>
  </si>
  <si>
    <t>ALBON</t>
  </si>
  <si>
    <t>LEBON</t>
  </si>
  <si>
    <t>PRC</t>
  </si>
  <si>
    <t>ARTMARKET</t>
  </si>
  <si>
    <t>GEA</t>
  </si>
  <si>
    <t>GPE</t>
  </si>
  <si>
    <t>GPE PIZZORNO ENVI</t>
  </si>
  <si>
    <t>FREY</t>
  </si>
  <si>
    <t>SRP</t>
  </si>
  <si>
    <t>SRP GROUP</t>
  </si>
  <si>
    <t>ERF</t>
  </si>
  <si>
    <t>EUROFINS SCIENTIFIC</t>
  </si>
  <si>
    <t>TEP</t>
  </si>
  <si>
    <t>TÉLÉPERFORMANCE</t>
  </si>
  <si>
    <t>AI</t>
  </si>
  <si>
    <t>AIR LIQUIDE</t>
  </si>
  <si>
    <t>OR</t>
  </si>
  <si>
    <t>L'OREAL</t>
  </si>
  <si>
    <t>LNA</t>
  </si>
  <si>
    <t>LNA SANTE</t>
  </si>
  <si>
    <t>IPS</t>
  </si>
  <si>
    <t>IPSOS</t>
  </si>
  <si>
    <t>PUB</t>
  </si>
  <si>
    <t>PUBLICIS GRP</t>
  </si>
  <si>
    <t>VRLA</t>
  </si>
  <si>
    <t>VERALLIA</t>
  </si>
  <si>
    <t>VK</t>
  </si>
  <si>
    <t>VALLOUREC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</si>
</sst>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"/>
    <numFmt numFmtId="165" formatCode="_-* #,##0.00\ [$€-1]_-;\-* #,##0.00\ [$€-1]_-;_-* &quot;-&quot;??\ [$€-1]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5" fontId="3" fillId="0" borderId="0"/>
    <xf numFmtId="0" fontId="1" fillId="0" borderId="0"/>
  </cellStyleXfs>
  <cellXfs count="53">
    <xf numFmtId="0" fontId="0" fillId="0" borderId="0" xfId="0"/>
    <xf numFmtId="0" fontId="2" fillId="2" borderId="0" xfId="0" applyFont="1" applyFill="1" applyAlignment="1">
      <alignment horizontal="left"/>
    </xf>
    <xf numFmtId="0" fontId="2" fillId="2" borderId="0" xfId="0" applyFont="1" applyFill="1"/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64" fontId="4" fillId="5" borderId="0" xfId="1" applyNumberFormat="1" applyFont="1" applyFill="1"/>
    <xf numFmtId="0" fontId="0" fillId="4" borderId="2" xfId="0" applyFill="1" applyBorder="1"/>
    <xf numFmtId="164" fontId="4" fillId="5" borderId="2" xfId="1" applyNumberFormat="1" applyFont="1" applyFill="1" applyBorder="1"/>
    <xf numFmtId="49" fontId="4" fillId="6" borderId="2" xfId="1" applyNumberFormat="1" applyFont="1" applyFill="1" applyBorder="1"/>
    <xf numFmtId="2" fontId="4" fillId="7" borderId="2" xfId="1" applyNumberFormat="1" applyFont="1" applyFill="1" applyBorder="1" applyAlignment="1">
      <alignment horizontal="right"/>
    </xf>
    <xf numFmtId="2" fontId="4" fillId="7" borderId="3" xfId="1" applyNumberFormat="1" applyFont="1" applyFill="1" applyBorder="1" applyAlignment="1">
      <alignment horizontal="right"/>
    </xf>
    <xf numFmtId="10" fontId="5" fillId="8" borderId="4" xfId="2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2" xfId="0" applyBorder="1"/>
    <xf numFmtId="164" fontId="4" fillId="0" borderId="2" xfId="0" applyNumberFormat="1" applyFont="1" applyBorder="1" applyAlignment="1">
      <alignment horizontal="center"/>
    </xf>
    <xf numFmtId="0" fontId="4" fillId="6" borderId="2" xfId="0" applyFont="1" applyFill="1" applyBorder="1" applyProtection="1">
      <protection locked="0"/>
    </xf>
    <xf numFmtId="2" fontId="4" fillId="7" borderId="5" xfId="1" applyNumberFormat="1" applyFont="1" applyFill="1" applyBorder="1" applyAlignment="1">
      <alignment horizontal="right"/>
    </xf>
    <xf numFmtId="2" fontId="6" fillId="7" borderId="6" xfId="0" applyNumberFormat="1" applyFont="1" applyFill="1" applyBorder="1" applyAlignment="1">
      <alignment horizontal="right"/>
    </xf>
    <xf numFmtId="10" fontId="7" fillId="8" borderId="4" xfId="2" applyNumberFormat="1" applyFont="1" applyFill="1" applyBorder="1" applyAlignment="1">
      <alignment horizontal="right"/>
    </xf>
    <xf numFmtId="0" fontId="2" fillId="2" borderId="0" xfId="0" quotePrefix="1" applyFont="1" applyFill="1"/>
    <xf numFmtId="2" fontId="4" fillId="7" borderId="7" xfId="1" applyNumberFormat="1" applyFont="1" applyFill="1" applyBorder="1" applyAlignment="1">
      <alignment horizontal="right"/>
    </xf>
    <xf numFmtId="2" fontId="6" fillId="7" borderId="8" xfId="0" applyNumberFormat="1" applyFont="1" applyFill="1" applyBorder="1" applyAlignment="1">
      <alignment horizontal="right"/>
    </xf>
    <xf numFmtId="10" fontId="7" fillId="8" borderId="9" xfId="2" applyNumberFormat="1" applyFont="1" applyFill="1" applyBorder="1" applyAlignment="1">
      <alignment horizontal="right"/>
    </xf>
    <xf numFmtId="164" fontId="4" fillId="5" borderId="2" xfId="1" applyNumberFormat="1" applyFont="1" applyFill="1" applyBorder="1" applyAlignment="1">
      <alignment horizontal="left"/>
    </xf>
    <xf numFmtId="49" fontId="4" fillId="6" borderId="2" xfId="1" applyNumberFormat="1" applyFont="1" applyFill="1" applyBorder="1" applyProtection="1">
      <protection locked="0"/>
    </xf>
    <xf numFmtId="164" fontId="4" fillId="5" borderId="0" xfId="0" applyNumberFormat="1" applyFont="1" applyFill="1"/>
    <xf numFmtId="2" fontId="4" fillId="7" borderId="10" xfId="0" applyNumberFormat="1" applyFont="1" applyFill="1" applyBorder="1" applyAlignment="1">
      <alignment horizontal="right"/>
    </xf>
    <xf numFmtId="10" fontId="7" fillId="8" borderId="4" xfId="0" applyNumberFormat="1" applyFont="1" applyFill="1" applyBorder="1" applyAlignment="1">
      <alignment horizontal="right"/>
    </xf>
    <xf numFmtId="164" fontId="4" fillId="0" borderId="0" xfId="0" applyNumberFormat="1" applyFont="1" applyAlignment="1">
      <alignment horizontal="center"/>
    </xf>
    <xf numFmtId="0" fontId="4" fillId="6" borderId="0" xfId="0" applyFont="1" applyFill="1" applyProtection="1">
      <protection locked="0"/>
    </xf>
    <xf numFmtId="2" fontId="4" fillId="7" borderId="0" xfId="0" applyNumberFormat="1" applyFont="1" applyFill="1" applyAlignment="1">
      <alignment horizontal="right"/>
    </xf>
    <xf numFmtId="10" fontId="7" fillId="8" borderId="0" xfId="0" applyNumberFormat="1" applyFont="1" applyFill="1" applyAlignment="1">
      <alignment horizontal="right"/>
    </xf>
    <xf numFmtId="10" fontId="7" fillId="8" borderId="11" xfId="2" applyNumberFormat="1" applyFont="1" applyFill="1" applyBorder="1" applyAlignment="1">
      <alignment horizontal="right"/>
    </xf>
    <xf numFmtId="10" fontId="7" fillId="8" borderId="12" xfId="2" applyNumberFormat="1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10" fontId="5" fillId="8" borderId="13" xfId="2" applyNumberFormat="1" applyFont="1" applyFill="1" applyBorder="1" applyAlignment="1">
      <alignment horizontal="right"/>
    </xf>
    <xf numFmtId="2" fontId="4" fillId="7" borderId="8" xfId="0" applyNumberFormat="1" applyFont="1" applyFill="1" applyBorder="1" applyAlignment="1">
      <alignment horizontal="right"/>
    </xf>
    <xf numFmtId="2" fontId="4" fillId="7" borderId="12" xfId="1" applyNumberFormat="1" applyFont="1" applyFill="1" applyBorder="1" applyAlignment="1">
      <alignment horizontal="right"/>
    </xf>
    <xf numFmtId="10" fontId="7" fillId="8" borderId="0" xfId="2" applyNumberFormat="1" applyFont="1" applyFill="1" applyAlignment="1">
      <alignment horizontal="right"/>
    </xf>
    <xf numFmtId="0" fontId="3" fillId="0" borderId="0" xfId="0" applyFont="1" applyAlignment="1">
      <alignment horizontal="left"/>
    </xf>
    <xf numFmtId="164" fontId="4" fillId="3" borderId="0" xfId="0" applyNumberFormat="1" applyFont="1" applyFill="1" applyAlignment="1">
      <alignment horizontal="center"/>
    </xf>
    <xf numFmtId="16" fontId="0" fillId="0" borderId="0" xfId="0" applyNumberFormat="1"/>
    <xf numFmtId="2" fontId="4" fillId="7" borderId="10" xfId="1" applyNumberFormat="1" applyFont="1" applyFill="1" applyBorder="1" applyAlignment="1">
      <alignment horizontal="right"/>
    </xf>
    <xf numFmtId="0" fontId="8" fillId="3" borderId="0" xfId="0" applyFont="1" applyFill="1"/>
    <xf numFmtId="0" fontId="8" fillId="0" borderId="14" xfId="0" applyFont="1" applyBorder="1"/>
    <xf numFmtId="16" fontId="0" fillId="0" borderId="0" xfId="0" applyNumberFormat="1" applyAlignment="1">
      <alignment horizontal="center"/>
    </xf>
    <xf numFmtId="0" fontId="8" fillId="0" borderId="0" xfId="0" applyFont="1"/>
    <xf numFmtId="0" fontId="0" fillId="9" borderId="0" xfId="0" applyFill="1" applyAlignment="1">
      <alignment horizontal="center"/>
    </xf>
    <xf numFmtId="0" fontId="4" fillId="6" borderId="0" xfId="0" applyFont="1" applyFill="1"/>
    <xf numFmtId="49" fontId="4" fillId="6" borderId="0" xfId="1" applyNumberFormat="1" applyFont="1" applyFill="1" applyProtection="1">
      <protection locked="0"/>
    </xf>
    <xf numFmtId="14" fontId="0" fillId="0" borderId="0" xfId="0" applyNumberFormat="1"/>
  </cellXfs>
  <cellStyles count="3">
    <cellStyle name="Normal" xfId="0" builtinId="0"/>
    <cellStyle name="Normal 2" xfId="1" xr:uid="{00000000-0005-0000-0000-000001000000}"/>
    <cellStyle name="Normal 4" xfId="2" xr:uid="{00000000-0005-0000-0000-000002000000}"/>
  </cellStyles>
  <dxfs count="180"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ill>
        <patternFill patternType="solid">
          <fgColor indexed="64"/>
          <bgColor rgb="FFFFD966"/>
        </patternFill>
      </fill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ill>
        <patternFill patternType="solid">
          <fgColor indexed="64"/>
          <bgColor rgb="FFFFD966"/>
        </patternFill>
      </fill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aisonExterneR&#233;cup&#233;r&#233;e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  <wetp:taskpane dockstate="right" visibility="0" width="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54302555-A653-4C08-8E82-95FD3313016A}">
  <we:reference id="wa200003696" version="1.3.0.0" store="en-US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9BDBE80A-2418-4ED1-BFD8-970754D71C41}">
  <we:reference id="wa200005271" version="3.0.0.4" store="fr-FR" storeType="OMEX"/>
  <we:alternateReferences>
    <we:reference id="WA200005271" version="3.0.0.4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962D4637-2CB8-43F5-B285-361EC6D18305}">
  <we:reference id="wa200007447" version="1.1.6.7" store="fr-FR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_xldudf_BF_OUTPUT</we:customFunctionIds>
        <we:customFunctionIds>_xldudf_BF_FUNCTION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/>
  <dimension ref="A1:H109"/>
  <sheetViews>
    <sheetView zoomScale="115" zoomScaleNormal="115" workbookViewId="0"/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8" ht="15" customHeight="1" thickBot="1" x14ac:dyDescent="0.45">
      <c r="A1" s="52">
        <v>46318</v>
      </c>
      <c r="B1" s="1" t="s">
        <v>0</v>
      </c>
      <c r="C1" s="2" t="s">
        <v>1</v>
      </c>
      <c r="D1" s="2" t="s">
        <v>2</v>
      </c>
      <c r="E1" s="3" t="s">
        <v>3</v>
      </c>
      <c r="F1" s="4" t="s">
        <v>4</v>
      </c>
      <c r="G1" s="5" t="s">
        <v>5</v>
      </c>
      <c r="H1" s="45" t="s">
        <v>6</v>
      </c>
    </row>
    <row r="2" spans="1:8" ht="15" customHeight="1" thickBot="1" x14ac:dyDescent="0.45">
      <c r="A2" s="8">
        <v>1</v>
      </c>
      <c r="B2" s="9" t="s">
        <v>16</v>
      </c>
      <c r="C2" s="9" t="s">
        <v>8</v>
      </c>
      <c r="D2" s="10" t="s">
        <v>17</v>
      </c>
      <c r="E2" s="11">
        <v>59.95</v>
      </c>
      <c r="F2" s="12">
        <v>59.95</v>
      </c>
      <c r="G2" s="13">
        <f t="shared" ref="G2:G11" si="0">(F2/E2-1)</f>
        <v>0</v>
      </c>
      <c r="H2" s="14"/>
    </row>
    <row r="3" spans="1:8" ht="15" customHeight="1" thickBot="1" x14ac:dyDescent="0.45">
      <c r="A3" s="15">
        <v>2</v>
      </c>
      <c r="B3" s="9" t="s">
        <v>88</v>
      </c>
      <c r="C3" s="9" t="s">
        <v>8</v>
      </c>
      <c r="D3" s="10" t="s">
        <v>89</v>
      </c>
      <c r="E3" s="11">
        <v>233.5</v>
      </c>
      <c r="F3" s="12">
        <v>233.5</v>
      </c>
      <c r="G3" s="13">
        <f t="shared" si="0"/>
        <v>0</v>
      </c>
      <c r="H3" s="6"/>
    </row>
    <row r="4" spans="1:8" ht="15" customHeight="1" thickBot="1" x14ac:dyDescent="0.45">
      <c r="A4" s="8">
        <v>3</v>
      </c>
      <c r="B4" s="9" t="s">
        <v>20</v>
      </c>
      <c r="C4" s="9" t="s">
        <v>8</v>
      </c>
      <c r="D4" s="10" t="s">
        <v>21</v>
      </c>
      <c r="E4" s="11">
        <v>83.45</v>
      </c>
      <c r="F4" s="12">
        <v>83.45</v>
      </c>
      <c r="G4" s="13">
        <f t="shared" si="0"/>
        <v>0</v>
      </c>
      <c r="H4" s="6"/>
    </row>
    <row r="5" spans="1:8" ht="15" customHeight="1" thickBot="1" x14ac:dyDescent="0.45">
      <c r="A5" s="15">
        <v>4</v>
      </c>
      <c r="B5" s="9" t="s">
        <v>96</v>
      </c>
      <c r="C5" s="9" t="s">
        <v>8</v>
      </c>
      <c r="D5" s="10" t="s">
        <v>97</v>
      </c>
      <c r="E5" s="11">
        <v>32.4</v>
      </c>
      <c r="F5" s="12">
        <v>32.4</v>
      </c>
      <c r="G5" s="13">
        <f t="shared" si="0"/>
        <v>0</v>
      </c>
      <c r="H5" s="6"/>
    </row>
    <row r="6" spans="1:8" ht="15" customHeight="1" thickBot="1" x14ac:dyDescent="0.45">
      <c r="A6" s="8">
        <v>5</v>
      </c>
      <c r="B6" s="9" t="s">
        <v>98</v>
      </c>
      <c r="C6" s="9" t="s">
        <v>8</v>
      </c>
      <c r="D6" s="10" t="s">
        <v>99</v>
      </c>
      <c r="E6" s="11">
        <v>185</v>
      </c>
      <c r="F6" s="12">
        <v>185</v>
      </c>
      <c r="G6" s="13">
        <f t="shared" si="0"/>
        <v>0</v>
      </c>
      <c r="H6" s="6"/>
    </row>
    <row r="7" spans="1:8" ht="15" customHeight="1" thickBot="1" x14ac:dyDescent="0.45">
      <c r="A7" s="15">
        <v>6</v>
      </c>
      <c r="B7" s="9" t="s">
        <v>100</v>
      </c>
      <c r="C7" s="9" t="s">
        <v>8</v>
      </c>
      <c r="D7" s="10" t="s">
        <v>101</v>
      </c>
      <c r="E7" s="11">
        <v>35.96</v>
      </c>
      <c r="F7" s="12">
        <v>35.96</v>
      </c>
      <c r="G7" s="13">
        <f t="shared" si="0"/>
        <v>0</v>
      </c>
      <c r="H7" s="6"/>
    </row>
    <row r="8" spans="1:8" ht="15" customHeight="1" thickBot="1" x14ac:dyDescent="0.45">
      <c r="A8" s="8">
        <v>7</v>
      </c>
      <c r="B8" s="9" t="s">
        <v>77</v>
      </c>
      <c r="C8" s="9" t="s">
        <v>8</v>
      </c>
      <c r="D8" s="10" t="s">
        <v>78</v>
      </c>
      <c r="E8" s="11">
        <v>5.83</v>
      </c>
      <c r="F8" s="12">
        <v>5.83</v>
      </c>
      <c r="G8" s="13">
        <f t="shared" si="0"/>
        <v>0</v>
      </c>
      <c r="H8" s="6"/>
    </row>
    <row r="9" spans="1:8" ht="15" customHeight="1" thickBot="1" x14ac:dyDescent="0.45">
      <c r="A9" s="15">
        <v>8</v>
      </c>
      <c r="B9" s="9" t="s">
        <v>102</v>
      </c>
      <c r="C9" s="9" t="s">
        <v>25</v>
      </c>
      <c r="D9" s="10" t="s">
        <v>103</v>
      </c>
      <c r="E9" s="11">
        <v>93.7</v>
      </c>
      <c r="F9" s="12">
        <v>93.7</v>
      </c>
      <c r="G9" s="13">
        <f t="shared" si="0"/>
        <v>0</v>
      </c>
      <c r="H9" s="6"/>
    </row>
    <row r="10" spans="1:8" ht="15" customHeight="1" thickBot="1" x14ac:dyDescent="0.45">
      <c r="A10" s="8">
        <v>9</v>
      </c>
      <c r="B10" s="9" t="s">
        <v>104</v>
      </c>
      <c r="C10" s="9" t="s">
        <v>8</v>
      </c>
      <c r="D10" s="10" t="s">
        <v>105</v>
      </c>
      <c r="E10" s="11">
        <v>24.44</v>
      </c>
      <c r="F10" s="12">
        <v>24.44</v>
      </c>
      <c r="G10" s="13">
        <f t="shared" si="0"/>
        <v>0</v>
      </c>
      <c r="H10" s="6"/>
    </row>
    <row r="11" spans="1:8" ht="15" customHeight="1" thickBot="1" x14ac:dyDescent="0.45">
      <c r="A11" s="15">
        <v>10</v>
      </c>
      <c r="B11" s="9" t="s">
        <v>106</v>
      </c>
      <c r="C11" s="9" t="s">
        <v>25</v>
      </c>
      <c r="D11" s="10" t="s">
        <v>106</v>
      </c>
      <c r="E11" s="11">
        <v>11.3</v>
      </c>
      <c r="F11" s="12">
        <v>11.3</v>
      </c>
      <c r="G11" s="13">
        <f t="shared" si="0"/>
        <v>0</v>
      </c>
      <c r="H11" s="6"/>
    </row>
    <row r="12" spans="1:8" ht="15.45" customHeight="1" thickBot="1" x14ac:dyDescent="0.45">
      <c r="A12" s="15"/>
      <c r="B12" s="7"/>
      <c r="C12" s="16"/>
      <c r="D12" s="17"/>
      <c r="E12" s="18"/>
      <c r="F12" s="19" t="s">
        <v>28</v>
      </c>
      <c r="G12" s="20">
        <v>0</v>
      </c>
      <c r="H12" s="46" t="s">
        <v>29</v>
      </c>
    </row>
    <row r="13" spans="1:8" x14ac:dyDescent="0.4">
      <c r="B13" s="14"/>
      <c r="F13" s="6"/>
      <c r="H13" s="6"/>
    </row>
    <row r="14" spans="1:8" x14ac:dyDescent="0.4">
      <c r="B14" s="14"/>
      <c r="F14" s="6"/>
      <c r="H14" s="6"/>
    </row>
    <row r="15" spans="1:8" ht="15" customHeight="1" thickBot="1" x14ac:dyDescent="0.45">
      <c r="A15" s="21" t="s">
        <v>30</v>
      </c>
      <c r="B15" s="1" t="s">
        <v>0</v>
      </c>
      <c r="C15" s="2" t="s">
        <v>1</v>
      </c>
      <c r="D15" s="2" t="s">
        <v>2</v>
      </c>
      <c r="E15" s="3" t="s">
        <v>3</v>
      </c>
      <c r="F15" s="4" t="s">
        <v>4</v>
      </c>
      <c r="G15" s="5" t="s">
        <v>5</v>
      </c>
      <c r="H15" s="45" t="s">
        <v>31</v>
      </c>
    </row>
    <row r="16" spans="1:8" ht="15" customHeight="1" thickBot="1" x14ac:dyDescent="0.45">
      <c r="A16" s="8">
        <v>1</v>
      </c>
      <c r="B16" s="9" t="s">
        <v>107</v>
      </c>
      <c r="C16" s="9" t="s">
        <v>8</v>
      </c>
      <c r="D16" s="10" t="s">
        <v>108</v>
      </c>
      <c r="E16" s="22">
        <v>0.54900000000000004</v>
      </c>
      <c r="F16" s="12">
        <v>0.54900000000000004</v>
      </c>
      <c r="G16" s="13">
        <f t="shared" ref="G16:G25" si="1">(F16/E16-1)</f>
        <v>0</v>
      </c>
      <c r="H16" s="47"/>
    </row>
    <row r="17" spans="1:8" ht="15" customHeight="1" thickBot="1" x14ac:dyDescent="0.45">
      <c r="A17" s="15">
        <v>2</v>
      </c>
      <c r="B17" s="9" t="s">
        <v>109</v>
      </c>
      <c r="C17" s="9" t="s">
        <v>8</v>
      </c>
      <c r="D17" s="10" t="s">
        <v>110</v>
      </c>
      <c r="E17" s="22">
        <v>72.599999999999994</v>
      </c>
      <c r="F17" s="12">
        <v>72.599999999999994</v>
      </c>
      <c r="G17" s="13">
        <f t="shared" si="1"/>
        <v>0</v>
      </c>
      <c r="H17" s="6"/>
    </row>
    <row r="18" spans="1:8" ht="15" customHeight="1" thickBot="1" x14ac:dyDescent="0.45">
      <c r="A18" s="8">
        <v>3</v>
      </c>
      <c r="B18" s="9" t="s">
        <v>111</v>
      </c>
      <c r="C18" s="9" t="s">
        <v>8</v>
      </c>
      <c r="D18" s="10" t="s">
        <v>112</v>
      </c>
      <c r="E18" s="22">
        <v>33.74</v>
      </c>
      <c r="F18" s="12">
        <v>33.74</v>
      </c>
      <c r="G18" s="13">
        <f t="shared" si="1"/>
        <v>0</v>
      </c>
      <c r="H18" s="6"/>
    </row>
    <row r="19" spans="1:8" ht="15" customHeight="1" thickBot="1" x14ac:dyDescent="0.45">
      <c r="A19" s="15">
        <v>4</v>
      </c>
      <c r="B19" s="9" t="s">
        <v>113</v>
      </c>
      <c r="C19" s="9" t="s">
        <v>8</v>
      </c>
      <c r="D19" s="10" t="s">
        <v>113</v>
      </c>
      <c r="E19" s="22">
        <v>4.7E-2</v>
      </c>
      <c r="F19" s="12">
        <v>4.7E-2</v>
      </c>
      <c r="G19" s="13">
        <f t="shared" si="1"/>
        <v>0</v>
      </c>
      <c r="H19" s="6"/>
    </row>
    <row r="20" spans="1:8" ht="15" customHeight="1" thickBot="1" x14ac:dyDescent="0.45">
      <c r="A20" s="8">
        <v>5</v>
      </c>
      <c r="B20" s="9" t="s">
        <v>114</v>
      </c>
      <c r="C20" s="9" t="s">
        <v>8</v>
      </c>
      <c r="D20" s="10" t="s">
        <v>115</v>
      </c>
      <c r="E20" s="22">
        <v>3.5539999999999998</v>
      </c>
      <c r="F20" s="12">
        <v>3.5539999999999998</v>
      </c>
      <c r="G20" s="13">
        <f t="shared" si="1"/>
        <v>0</v>
      </c>
      <c r="H20" s="6"/>
    </row>
    <row r="21" spans="1:8" ht="15" customHeight="1" thickBot="1" x14ac:dyDescent="0.45">
      <c r="A21" s="15">
        <v>6</v>
      </c>
      <c r="B21" s="9" t="s">
        <v>38</v>
      </c>
      <c r="C21" s="9" t="s">
        <v>8</v>
      </c>
      <c r="D21" s="10" t="s">
        <v>39</v>
      </c>
      <c r="E21" s="22">
        <v>1.61</v>
      </c>
      <c r="F21" s="12">
        <v>1.61</v>
      </c>
      <c r="G21" s="13">
        <f t="shared" si="1"/>
        <v>0</v>
      </c>
      <c r="H21" s="6"/>
    </row>
    <row r="22" spans="1:8" ht="15" customHeight="1" thickBot="1" x14ac:dyDescent="0.45">
      <c r="A22" s="8">
        <v>7</v>
      </c>
      <c r="B22" s="9" t="s">
        <v>116</v>
      </c>
      <c r="C22" s="9" t="s">
        <v>8</v>
      </c>
      <c r="D22" s="10" t="s">
        <v>117</v>
      </c>
      <c r="E22" s="22">
        <v>4.3220000000000001</v>
      </c>
      <c r="F22" s="12">
        <v>4.3220000000000001</v>
      </c>
      <c r="G22" s="13">
        <f t="shared" si="1"/>
        <v>0</v>
      </c>
      <c r="H22" s="6"/>
    </row>
    <row r="23" spans="1:8" ht="15" customHeight="1" thickBot="1" x14ac:dyDescent="0.45">
      <c r="A23" s="15">
        <v>8</v>
      </c>
      <c r="B23" s="9" t="s">
        <v>118</v>
      </c>
      <c r="C23" s="9" t="s">
        <v>8</v>
      </c>
      <c r="D23" s="10" t="s">
        <v>119</v>
      </c>
      <c r="E23" s="22">
        <v>9.3699999999999992</v>
      </c>
      <c r="F23" s="12">
        <v>9.3699999999999992</v>
      </c>
      <c r="G23" s="13">
        <f t="shared" si="1"/>
        <v>0</v>
      </c>
      <c r="H23" s="6"/>
    </row>
    <row r="24" spans="1:8" ht="15" customHeight="1" thickBot="1" x14ac:dyDescent="0.45">
      <c r="A24" s="8">
        <v>9</v>
      </c>
      <c r="B24" s="9" t="s">
        <v>120</v>
      </c>
      <c r="C24" s="9" t="s">
        <v>8</v>
      </c>
      <c r="D24" s="10" t="s">
        <v>121</v>
      </c>
      <c r="E24" s="22">
        <v>8.0380000000000003</v>
      </c>
      <c r="F24" s="12">
        <v>8.0380000000000003</v>
      </c>
      <c r="G24" s="13">
        <f t="shared" si="1"/>
        <v>0</v>
      </c>
      <c r="H24" s="6"/>
    </row>
    <row r="25" spans="1:8" ht="15" customHeight="1" thickBot="1" x14ac:dyDescent="0.45">
      <c r="A25" s="15">
        <v>10</v>
      </c>
      <c r="B25" s="9" t="s">
        <v>122</v>
      </c>
      <c r="C25" s="9" t="s">
        <v>8</v>
      </c>
      <c r="D25" s="10" t="s">
        <v>123</v>
      </c>
      <c r="E25" s="22">
        <v>3.9649999999999999</v>
      </c>
      <c r="F25" s="12">
        <v>3.9649999999999999</v>
      </c>
      <c r="G25" s="13">
        <f t="shared" si="1"/>
        <v>0</v>
      </c>
      <c r="H25" s="6"/>
    </row>
    <row r="26" spans="1:8" ht="15.45" customHeight="1" thickBot="1" x14ac:dyDescent="0.45">
      <c r="A26" s="15"/>
      <c r="B26" s="7"/>
      <c r="C26" s="16"/>
      <c r="D26" s="17"/>
      <c r="E26" s="18"/>
      <c r="F26" s="23" t="s">
        <v>28</v>
      </c>
      <c r="G26" s="24">
        <v>0</v>
      </c>
      <c r="H26" s="46" t="s">
        <v>29</v>
      </c>
    </row>
    <row r="27" spans="1:8" x14ac:dyDescent="0.4">
      <c r="A27" s="15"/>
      <c r="B27" s="25"/>
      <c r="C27" s="9"/>
      <c r="D27" s="26"/>
      <c r="F27" s="6"/>
      <c r="H27" s="6"/>
    </row>
    <row r="28" spans="1:8" x14ac:dyDescent="0.4">
      <c r="B28" s="14"/>
      <c r="F28" s="6"/>
      <c r="H28" s="6"/>
    </row>
    <row r="29" spans="1:8" ht="15" customHeight="1" thickBot="1" x14ac:dyDescent="0.45">
      <c r="A29" s="21" t="s">
        <v>30</v>
      </c>
      <c r="B29" s="1" t="s">
        <v>0</v>
      </c>
      <c r="C29" s="2" t="s">
        <v>1</v>
      </c>
      <c r="D29" s="2" t="s">
        <v>2</v>
      </c>
      <c r="E29" s="3" t="s">
        <v>3</v>
      </c>
      <c r="F29" s="4" t="s">
        <v>4</v>
      </c>
      <c r="G29" s="5" t="s">
        <v>5</v>
      </c>
      <c r="H29" s="45" t="s">
        <v>51</v>
      </c>
    </row>
    <row r="30" spans="1:8" ht="15" customHeight="1" thickBot="1" x14ac:dyDescent="0.45">
      <c r="A30" s="8">
        <v>1</v>
      </c>
      <c r="B30" s="7" t="s">
        <v>124</v>
      </c>
      <c r="C30" s="7" t="s">
        <v>53</v>
      </c>
      <c r="D30" s="51" t="s">
        <v>125</v>
      </c>
      <c r="E30" s="18">
        <v>0.124</v>
      </c>
      <c r="F30" s="12">
        <v>0.124</v>
      </c>
      <c r="G30" s="13">
        <f t="shared" ref="G30:G39" si="2">(F30/E30-1)</f>
        <v>0</v>
      </c>
    </row>
    <row r="31" spans="1:8" ht="15" customHeight="1" thickBot="1" x14ac:dyDescent="0.45">
      <c r="A31" s="15">
        <v>2</v>
      </c>
      <c r="B31" s="7" t="s">
        <v>126</v>
      </c>
      <c r="C31" s="7" t="s">
        <v>53</v>
      </c>
      <c r="D31" s="51" t="s">
        <v>127</v>
      </c>
      <c r="E31" s="18">
        <v>0.71</v>
      </c>
      <c r="F31" s="12">
        <v>0.71</v>
      </c>
      <c r="G31" s="13">
        <f t="shared" si="2"/>
        <v>0</v>
      </c>
    </row>
    <row r="32" spans="1:8" ht="15" customHeight="1" thickBot="1" x14ac:dyDescent="0.45">
      <c r="A32" s="8">
        <v>3</v>
      </c>
      <c r="B32" s="7" t="s">
        <v>128</v>
      </c>
      <c r="C32" s="7" t="s">
        <v>53</v>
      </c>
      <c r="D32" s="51" t="s">
        <v>129</v>
      </c>
      <c r="E32" s="18">
        <v>6.0209999999999999</v>
      </c>
      <c r="F32" s="12">
        <v>6.0209999999999999</v>
      </c>
      <c r="G32" s="13">
        <f t="shared" si="2"/>
        <v>0</v>
      </c>
    </row>
    <row r="33" spans="1:8" ht="15" customHeight="1" thickBot="1" x14ac:dyDescent="0.45">
      <c r="A33" s="15">
        <v>4</v>
      </c>
      <c r="B33" s="7" t="s">
        <v>130</v>
      </c>
      <c r="C33" s="7" t="s">
        <v>53</v>
      </c>
      <c r="D33" s="51" t="s">
        <v>131</v>
      </c>
      <c r="E33" s="18">
        <v>3.5</v>
      </c>
      <c r="F33" s="12">
        <v>3.5</v>
      </c>
      <c r="G33" s="13">
        <f t="shared" si="2"/>
        <v>0</v>
      </c>
    </row>
    <row r="34" spans="1:8" ht="15" customHeight="1" thickBot="1" x14ac:dyDescent="0.45">
      <c r="A34" s="8">
        <v>5</v>
      </c>
      <c r="B34" s="7" t="s">
        <v>132</v>
      </c>
      <c r="C34" s="7" t="s">
        <v>53</v>
      </c>
      <c r="D34" s="51" t="s">
        <v>133</v>
      </c>
      <c r="E34" s="18">
        <v>4.5999999999999999E-2</v>
      </c>
      <c r="F34" s="12">
        <v>4.5999999999999999E-2</v>
      </c>
      <c r="G34" s="13">
        <f t="shared" si="2"/>
        <v>0</v>
      </c>
    </row>
    <row r="35" spans="1:8" ht="15" customHeight="1" thickBot="1" x14ac:dyDescent="0.45">
      <c r="A35" s="15">
        <v>6</v>
      </c>
      <c r="B35" s="7" t="s">
        <v>134</v>
      </c>
      <c r="C35" s="7" t="s">
        <v>60</v>
      </c>
      <c r="D35" s="51" t="s">
        <v>135</v>
      </c>
      <c r="E35" s="18">
        <v>1.3149999999999999</v>
      </c>
      <c r="F35" s="12">
        <v>1.3149999999999999</v>
      </c>
      <c r="G35" s="13">
        <f t="shared" si="2"/>
        <v>0</v>
      </c>
    </row>
    <row r="36" spans="1:8" ht="15" customHeight="1" thickBot="1" x14ac:dyDescent="0.45">
      <c r="A36" s="8">
        <v>7</v>
      </c>
      <c r="B36" s="7" t="s">
        <v>136</v>
      </c>
      <c r="C36" s="7" t="s">
        <v>53</v>
      </c>
      <c r="D36" s="51" t="s">
        <v>137</v>
      </c>
      <c r="E36" s="18">
        <v>1.7869999999999999</v>
      </c>
      <c r="F36" s="12">
        <v>1.7869999999999999</v>
      </c>
      <c r="G36" s="13">
        <f t="shared" si="2"/>
        <v>0</v>
      </c>
    </row>
    <row r="37" spans="1:8" ht="15" customHeight="1" thickBot="1" x14ac:dyDescent="0.45">
      <c r="A37" s="15">
        <v>8</v>
      </c>
      <c r="B37" s="7" t="s">
        <v>138</v>
      </c>
      <c r="C37" s="7" t="s">
        <v>53</v>
      </c>
      <c r="D37" s="51" t="s">
        <v>139</v>
      </c>
      <c r="E37" s="18">
        <v>96</v>
      </c>
      <c r="F37" s="12">
        <v>96</v>
      </c>
      <c r="G37" s="13">
        <f t="shared" si="2"/>
        <v>0</v>
      </c>
    </row>
    <row r="38" spans="1:8" ht="15" customHeight="1" thickBot="1" x14ac:dyDescent="0.45">
      <c r="A38" s="8">
        <v>9</v>
      </c>
      <c r="B38" s="7" t="s">
        <v>140</v>
      </c>
      <c r="C38" s="7" t="s">
        <v>60</v>
      </c>
      <c r="D38" s="51" t="s">
        <v>141</v>
      </c>
      <c r="E38" s="18">
        <v>3.3</v>
      </c>
      <c r="F38" s="12">
        <v>3.3</v>
      </c>
      <c r="G38" s="13">
        <f t="shared" si="2"/>
        <v>0</v>
      </c>
    </row>
    <row r="39" spans="1:8" ht="15" customHeight="1" thickBot="1" x14ac:dyDescent="0.45">
      <c r="A39" s="15">
        <v>10</v>
      </c>
      <c r="B39" s="7" t="s">
        <v>142</v>
      </c>
      <c r="C39" s="7" t="s">
        <v>60</v>
      </c>
      <c r="D39" s="51" t="s">
        <v>142</v>
      </c>
      <c r="E39" s="18">
        <v>68</v>
      </c>
      <c r="F39" s="12">
        <v>68</v>
      </c>
      <c r="G39" s="13">
        <f t="shared" si="2"/>
        <v>0</v>
      </c>
    </row>
    <row r="40" spans="1:8" ht="15.45" customHeight="1" thickBot="1" x14ac:dyDescent="0.45">
      <c r="A40" s="15"/>
      <c r="B40" s="27"/>
      <c r="C40" s="16"/>
      <c r="D40" s="17"/>
      <c r="F40" s="28" t="s">
        <v>28</v>
      </c>
      <c r="G40" s="29">
        <v>0</v>
      </c>
      <c r="H40" s="46" t="s">
        <v>29</v>
      </c>
    </row>
    <row r="41" spans="1:8" ht="15.45" customHeight="1" x14ac:dyDescent="0.4">
      <c r="B41" s="27"/>
      <c r="C41" s="30"/>
      <c r="D41" s="31"/>
      <c r="F41" s="32"/>
      <c r="G41" s="33"/>
    </row>
    <row r="42" spans="1:8" ht="15" customHeight="1" thickBot="1" x14ac:dyDescent="0.45">
      <c r="A42" s="21" t="s">
        <v>30</v>
      </c>
      <c r="B42" s="1" t="s">
        <v>0</v>
      </c>
      <c r="C42" s="2" t="s">
        <v>1</v>
      </c>
      <c r="D42" s="2" t="s">
        <v>2</v>
      </c>
      <c r="E42" s="3" t="s">
        <v>3</v>
      </c>
      <c r="F42" s="4" t="s">
        <v>4</v>
      </c>
      <c r="G42" s="5" t="s">
        <v>5</v>
      </c>
      <c r="H42" s="45" t="s">
        <v>74</v>
      </c>
    </row>
    <row r="43" spans="1:8" ht="15" customHeight="1" thickBot="1" x14ac:dyDescent="0.45">
      <c r="A43" s="8">
        <v>1</v>
      </c>
      <c r="B43" s="9" t="s">
        <v>143</v>
      </c>
      <c r="C43" s="9" t="s">
        <v>25</v>
      </c>
      <c r="D43" s="10" t="s">
        <v>144</v>
      </c>
      <c r="E43" s="11">
        <v>62.2</v>
      </c>
      <c r="F43" s="12">
        <v>62.2</v>
      </c>
      <c r="G43" s="13">
        <f t="shared" ref="G43:G52" si="3">(F43/E43-1)</f>
        <v>0</v>
      </c>
    </row>
    <row r="44" spans="1:8" ht="15" customHeight="1" thickBot="1" x14ac:dyDescent="0.45">
      <c r="A44" s="15">
        <v>2</v>
      </c>
      <c r="B44" s="9" t="s">
        <v>145</v>
      </c>
      <c r="C44" s="9" t="s">
        <v>25</v>
      </c>
      <c r="D44" s="10" t="s">
        <v>145</v>
      </c>
      <c r="E44" s="11">
        <v>34.4</v>
      </c>
      <c r="F44" s="12">
        <v>34.4</v>
      </c>
      <c r="G44" s="13">
        <f t="shared" si="3"/>
        <v>0</v>
      </c>
    </row>
    <row r="45" spans="1:8" ht="15" customHeight="1" thickBot="1" x14ac:dyDescent="0.45">
      <c r="A45" s="8">
        <v>3</v>
      </c>
      <c r="B45" s="9" t="s">
        <v>146</v>
      </c>
      <c r="C45" s="9" t="s">
        <v>25</v>
      </c>
      <c r="D45" s="10" t="s">
        <v>147</v>
      </c>
      <c r="E45" s="11">
        <v>0.97</v>
      </c>
      <c r="F45" s="12">
        <v>0.97</v>
      </c>
      <c r="G45" s="13">
        <f t="shared" si="3"/>
        <v>0</v>
      </c>
    </row>
    <row r="46" spans="1:8" ht="15" customHeight="1" thickBot="1" x14ac:dyDescent="0.45">
      <c r="A46" s="15">
        <v>4</v>
      </c>
      <c r="B46" s="9" t="s">
        <v>148</v>
      </c>
      <c r="C46" s="9" t="s">
        <v>8</v>
      </c>
      <c r="D46" s="10" t="s">
        <v>149</v>
      </c>
      <c r="E46" s="11">
        <v>84.7</v>
      </c>
      <c r="F46" s="12">
        <v>84.7</v>
      </c>
      <c r="G46" s="13">
        <f t="shared" si="3"/>
        <v>0</v>
      </c>
    </row>
    <row r="47" spans="1:8" ht="15" customHeight="1" thickBot="1" x14ac:dyDescent="0.45">
      <c r="A47" s="8">
        <v>5</v>
      </c>
      <c r="B47" s="9" t="s">
        <v>150</v>
      </c>
      <c r="C47" s="9" t="s">
        <v>8</v>
      </c>
      <c r="D47" s="10" t="s">
        <v>151</v>
      </c>
      <c r="E47" s="11">
        <v>80.58</v>
      </c>
      <c r="F47" s="12">
        <v>80.58</v>
      </c>
      <c r="G47" s="13">
        <f t="shared" si="3"/>
        <v>0</v>
      </c>
    </row>
    <row r="48" spans="1:8" ht="15" customHeight="1" thickBot="1" x14ac:dyDescent="0.45">
      <c r="A48" s="15">
        <v>6</v>
      </c>
      <c r="B48" s="9" t="s">
        <v>152</v>
      </c>
      <c r="C48" s="9" t="s">
        <v>8</v>
      </c>
      <c r="D48" s="10" t="s">
        <v>153</v>
      </c>
      <c r="E48" s="11">
        <v>174.68</v>
      </c>
      <c r="F48" s="12">
        <v>174.68</v>
      </c>
      <c r="G48" s="13">
        <f t="shared" si="3"/>
        <v>0</v>
      </c>
    </row>
    <row r="49" spans="1:8" ht="15" customHeight="1" thickBot="1" x14ac:dyDescent="0.45">
      <c r="A49" s="8">
        <v>7</v>
      </c>
      <c r="B49" s="9" t="s">
        <v>86</v>
      </c>
      <c r="C49" s="9" t="s">
        <v>8</v>
      </c>
      <c r="D49" s="10" t="s">
        <v>87</v>
      </c>
      <c r="E49" s="11">
        <v>87.65</v>
      </c>
      <c r="F49" s="12">
        <v>87.65</v>
      </c>
      <c r="G49" s="13">
        <f t="shared" si="3"/>
        <v>0</v>
      </c>
    </row>
    <row r="50" spans="1:8" ht="15" customHeight="1" thickBot="1" x14ac:dyDescent="0.45">
      <c r="A50" s="15">
        <v>8</v>
      </c>
      <c r="B50" s="9" t="s">
        <v>154</v>
      </c>
      <c r="C50" s="9" t="s">
        <v>8</v>
      </c>
      <c r="D50" s="10" t="s">
        <v>155</v>
      </c>
      <c r="E50" s="11">
        <v>436.3</v>
      </c>
      <c r="F50" s="12">
        <v>436.3</v>
      </c>
      <c r="G50" s="13">
        <f t="shared" si="3"/>
        <v>0</v>
      </c>
    </row>
    <row r="51" spans="1:8" ht="15" customHeight="1" thickBot="1" x14ac:dyDescent="0.45">
      <c r="A51" s="8">
        <v>9</v>
      </c>
      <c r="B51" s="9" t="s">
        <v>156</v>
      </c>
      <c r="C51" s="9" t="s">
        <v>25</v>
      </c>
      <c r="D51" s="10" t="s">
        <v>157</v>
      </c>
      <c r="E51" s="11">
        <v>23.5</v>
      </c>
      <c r="F51" s="12">
        <v>23.5</v>
      </c>
      <c r="G51" s="13">
        <f t="shared" si="3"/>
        <v>0</v>
      </c>
    </row>
    <row r="52" spans="1:8" ht="15" customHeight="1" thickBot="1" x14ac:dyDescent="0.45">
      <c r="A52" s="15">
        <v>10</v>
      </c>
      <c r="B52" s="9" t="s">
        <v>92</v>
      </c>
      <c r="C52" s="9" t="s">
        <v>8</v>
      </c>
      <c r="D52" s="10" t="s">
        <v>93</v>
      </c>
      <c r="E52" s="11">
        <v>79.7</v>
      </c>
      <c r="F52" s="12">
        <v>79.7</v>
      </c>
      <c r="G52" s="13">
        <f t="shared" si="3"/>
        <v>0</v>
      </c>
    </row>
    <row r="53" spans="1:8" ht="15.45" customHeight="1" thickBot="1" x14ac:dyDescent="0.45">
      <c r="A53" s="15"/>
      <c r="B53" s="7"/>
      <c r="C53" s="16"/>
      <c r="D53" s="17"/>
      <c r="F53" s="28" t="s">
        <v>28</v>
      </c>
      <c r="G53" s="34">
        <v>0</v>
      </c>
      <c r="H53" s="46" t="s">
        <v>29</v>
      </c>
    </row>
    <row r="54" spans="1:8" ht="15.45" customHeight="1" x14ac:dyDescent="0.4">
      <c r="B54" s="7"/>
      <c r="C54" s="30"/>
      <c r="D54" s="31"/>
      <c r="F54" s="32"/>
      <c r="G54" s="35"/>
      <c r="H54" s="6"/>
    </row>
    <row r="55" spans="1:8" ht="15" customHeight="1" thickBot="1" x14ac:dyDescent="0.45">
      <c r="A55" s="21" t="s">
        <v>30</v>
      </c>
      <c r="B55" s="1" t="s">
        <v>0</v>
      </c>
      <c r="C55" s="2" t="s">
        <v>1</v>
      </c>
      <c r="D55" s="2" t="s">
        <v>2</v>
      </c>
      <c r="E55" s="3" t="s">
        <v>3</v>
      </c>
      <c r="F55" s="4" t="s">
        <v>4</v>
      </c>
      <c r="G55" s="5" t="s">
        <v>5</v>
      </c>
      <c r="H55" s="45" t="s">
        <v>79</v>
      </c>
    </row>
    <row r="56" spans="1:8" ht="15" customHeight="1" thickBot="1" x14ac:dyDescent="0.45">
      <c r="A56" s="8">
        <v>1</v>
      </c>
      <c r="B56" s="36"/>
      <c r="C56" s="30"/>
      <c r="D56" s="36"/>
      <c r="E56" s="18"/>
      <c r="F56" s="12"/>
      <c r="G56" s="37" t="e">
        <v>#VALUE!</v>
      </c>
      <c r="H56" s="6"/>
    </row>
    <row r="57" spans="1:8" ht="15" customHeight="1" thickBot="1" x14ac:dyDescent="0.45">
      <c r="A57" s="15">
        <v>2</v>
      </c>
      <c r="B57" s="36"/>
      <c r="C57" s="30"/>
      <c r="D57" s="36"/>
      <c r="E57" s="18"/>
      <c r="F57" s="12"/>
      <c r="G57" s="37" t="e">
        <v>#VALUE!</v>
      </c>
      <c r="H57" s="6"/>
    </row>
    <row r="58" spans="1:8" ht="15" customHeight="1" thickBot="1" x14ac:dyDescent="0.45">
      <c r="A58" s="8">
        <v>3</v>
      </c>
      <c r="B58" s="36"/>
      <c r="C58" s="30"/>
      <c r="D58" s="36"/>
      <c r="E58" s="18"/>
      <c r="F58" s="12"/>
      <c r="G58" s="37" t="e">
        <v>#VALUE!</v>
      </c>
      <c r="H58" s="6"/>
    </row>
    <row r="59" spans="1:8" ht="15" customHeight="1" thickBot="1" x14ac:dyDescent="0.45">
      <c r="A59" s="15">
        <v>4</v>
      </c>
      <c r="B59" s="36"/>
      <c r="C59" s="30"/>
      <c r="D59" s="36"/>
      <c r="E59" s="18"/>
      <c r="F59" s="12"/>
      <c r="G59" s="37" t="e">
        <v>#VALUE!</v>
      </c>
      <c r="H59" s="6"/>
    </row>
    <row r="60" spans="1:8" ht="15" customHeight="1" thickBot="1" x14ac:dyDescent="0.45">
      <c r="A60" s="8">
        <v>5</v>
      </c>
      <c r="B60" s="36"/>
      <c r="C60" s="30"/>
      <c r="D60" s="36"/>
      <c r="E60" s="18"/>
      <c r="F60" s="12"/>
      <c r="G60" s="37" t="e">
        <v>#VALUE!</v>
      </c>
      <c r="H60" s="6"/>
    </row>
    <row r="61" spans="1:8" ht="15" customHeight="1" thickBot="1" x14ac:dyDescent="0.45">
      <c r="A61" s="15">
        <v>6</v>
      </c>
      <c r="B61" s="36"/>
      <c r="C61" s="30"/>
      <c r="D61" s="36"/>
      <c r="E61" s="18"/>
      <c r="F61" s="12"/>
      <c r="G61" s="37" t="e">
        <v>#VALUE!</v>
      </c>
      <c r="H61" s="6"/>
    </row>
    <row r="62" spans="1:8" ht="15" customHeight="1" thickBot="1" x14ac:dyDescent="0.45">
      <c r="A62" s="8">
        <v>7</v>
      </c>
      <c r="B62" s="36"/>
      <c r="C62" s="30"/>
      <c r="D62" s="36"/>
      <c r="E62" s="18"/>
      <c r="F62" s="12"/>
      <c r="G62" s="37" t="e">
        <v>#VALUE!</v>
      </c>
      <c r="H62" s="6"/>
    </row>
    <row r="63" spans="1:8" ht="15" customHeight="1" thickBot="1" x14ac:dyDescent="0.45">
      <c r="A63" s="15">
        <v>8</v>
      </c>
      <c r="B63" s="36"/>
      <c r="C63" s="30"/>
      <c r="D63" s="36"/>
      <c r="E63" s="18"/>
      <c r="F63" s="12"/>
      <c r="G63" s="37" t="e">
        <v>#VALUE!</v>
      </c>
      <c r="H63" s="6"/>
    </row>
    <row r="64" spans="1:8" ht="15" customHeight="1" thickBot="1" x14ac:dyDescent="0.45">
      <c r="A64" s="8">
        <v>9</v>
      </c>
      <c r="B64" s="36"/>
      <c r="C64" s="30"/>
      <c r="D64" s="36"/>
      <c r="E64" s="18"/>
      <c r="F64" s="12"/>
      <c r="G64" s="37" t="e">
        <v>#VALUE!</v>
      </c>
      <c r="H64" s="6"/>
    </row>
    <row r="65" spans="1:8" ht="15" customHeight="1" thickBot="1" x14ac:dyDescent="0.45">
      <c r="A65" s="15">
        <v>10</v>
      </c>
      <c r="B65" s="36"/>
      <c r="C65" s="30"/>
      <c r="D65" s="36"/>
      <c r="E65" s="18"/>
      <c r="F65" s="12"/>
      <c r="G65" s="37" t="e">
        <v>#VALUE!</v>
      </c>
      <c r="H65" s="6"/>
    </row>
    <row r="66" spans="1:8" ht="15.45" customHeight="1" x14ac:dyDescent="0.4">
      <c r="A66" s="15"/>
      <c r="B66" s="7"/>
      <c r="C66" s="16"/>
      <c r="D66" s="17"/>
      <c r="F66" s="38" t="s">
        <v>28</v>
      </c>
      <c r="G66" s="34" t="e">
        <v>#VALUE!</v>
      </c>
      <c r="H66" s="48" t="s">
        <v>29</v>
      </c>
    </row>
    <row r="67" spans="1:8" ht="15.45" customHeight="1" x14ac:dyDescent="0.4">
      <c r="B67" s="7"/>
      <c r="C67" s="30"/>
      <c r="D67" s="31"/>
      <c r="F67" s="39"/>
      <c r="G67" s="35"/>
      <c r="H67" s="6"/>
    </row>
    <row r="68" spans="1:8" ht="15" customHeight="1" thickBot="1" x14ac:dyDescent="0.45">
      <c r="A68" s="21" t="s">
        <v>30</v>
      </c>
      <c r="B68" s="1" t="s">
        <v>0</v>
      </c>
      <c r="C68" s="2" t="s">
        <v>1</v>
      </c>
      <c r="D68" s="2" t="s">
        <v>2</v>
      </c>
      <c r="E68" s="3" t="s">
        <v>3</v>
      </c>
      <c r="F68" s="4" t="s">
        <v>4</v>
      </c>
      <c r="G68" s="5" t="s">
        <v>5</v>
      </c>
      <c r="H68" s="45" t="s">
        <v>80</v>
      </c>
    </row>
    <row r="69" spans="1:8" ht="15" customHeight="1" thickBot="1" x14ac:dyDescent="0.45">
      <c r="A69" s="8">
        <v>1</v>
      </c>
      <c r="B69" s="36"/>
      <c r="C69" s="30"/>
      <c r="D69" s="36"/>
      <c r="E69" s="18"/>
      <c r="F69" s="12"/>
      <c r="G69" s="37" t="e">
        <v>#VALUE!</v>
      </c>
      <c r="H69" s="6"/>
    </row>
    <row r="70" spans="1:8" ht="15" customHeight="1" thickBot="1" x14ac:dyDescent="0.45">
      <c r="A70" s="15">
        <v>2</v>
      </c>
      <c r="B70" s="36"/>
      <c r="C70" s="30"/>
      <c r="D70" s="36"/>
      <c r="E70" s="18"/>
      <c r="F70" s="12"/>
      <c r="G70" s="37" t="e">
        <v>#VALUE!</v>
      </c>
      <c r="H70" s="6"/>
    </row>
    <row r="71" spans="1:8" ht="15" customHeight="1" thickBot="1" x14ac:dyDescent="0.45">
      <c r="A71" s="8">
        <v>3</v>
      </c>
      <c r="B71" s="36"/>
      <c r="C71" s="30"/>
      <c r="D71" s="36"/>
      <c r="E71" s="18"/>
      <c r="F71" s="12"/>
      <c r="G71" s="37" t="e">
        <v>#VALUE!</v>
      </c>
      <c r="H71" s="6"/>
    </row>
    <row r="72" spans="1:8" ht="15" customHeight="1" thickBot="1" x14ac:dyDescent="0.45">
      <c r="A72" s="15">
        <v>4</v>
      </c>
      <c r="B72" s="36"/>
      <c r="C72" s="30"/>
      <c r="D72" s="36"/>
      <c r="E72" s="18"/>
      <c r="F72" s="12"/>
      <c r="G72" s="37" t="e">
        <v>#VALUE!</v>
      </c>
      <c r="H72" s="6"/>
    </row>
    <row r="73" spans="1:8" ht="15" customHeight="1" thickBot="1" x14ac:dyDescent="0.45">
      <c r="A73" s="8">
        <v>5</v>
      </c>
      <c r="B73" s="36"/>
      <c r="C73" s="30"/>
      <c r="D73" s="36"/>
      <c r="E73" s="18"/>
      <c r="F73" s="12"/>
      <c r="G73" s="37" t="e">
        <v>#VALUE!</v>
      </c>
      <c r="H73" s="6"/>
    </row>
    <row r="74" spans="1:8" ht="15" customHeight="1" thickBot="1" x14ac:dyDescent="0.45">
      <c r="A74" s="15">
        <v>6</v>
      </c>
      <c r="B74" s="36"/>
      <c r="C74" s="30"/>
      <c r="D74" s="36"/>
      <c r="E74" s="18"/>
      <c r="F74" s="12"/>
      <c r="G74" s="37" t="e">
        <v>#VALUE!</v>
      </c>
      <c r="H74" s="6"/>
    </row>
    <row r="75" spans="1:8" ht="15" customHeight="1" thickBot="1" x14ac:dyDescent="0.45">
      <c r="A75" s="8">
        <v>7</v>
      </c>
      <c r="B75" s="36"/>
      <c r="C75" s="30"/>
      <c r="D75" s="36"/>
      <c r="E75" s="18"/>
      <c r="F75" s="12"/>
      <c r="G75" s="37" t="e">
        <v>#VALUE!</v>
      </c>
      <c r="H75" s="6"/>
    </row>
    <row r="76" spans="1:8" ht="15" customHeight="1" thickBot="1" x14ac:dyDescent="0.45">
      <c r="A76" s="15">
        <v>8</v>
      </c>
      <c r="B76" s="36"/>
      <c r="C76" s="30"/>
      <c r="D76" s="36"/>
      <c r="E76" s="18"/>
      <c r="F76" s="12"/>
      <c r="G76" s="37" t="e">
        <v>#VALUE!</v>
      </c>
      <c r="H76" s="6"/>
    </row>
    <row r="77" spans="1:8" ht="15" customHeight="1" thickBot="1" x14ac:dyDescent="0.45">
      <c r="A77" s="8">
        <v>9</v>
      </c>
      <c r="B77" s="36"/>
      <c r="C77" s="30"/>
      <c r="D77" s="36"/>
      <c r="E77" s="18"/>
      <c r="F77" s="12"/>
      <c r="G77" s="37" t="e">
        <v>#VALUE!</v>
      </c>
      <c r="H77" s="6"/>
    </row>
    <row r="78" spans="1:8" ht="15" customHeight="1" thickBot="1" x14ac:dyDescent="0.45">
      <c r="A78" s="15">
        <v>10</v>
      </c>
      <c r="B78" s="36"/>
      <c r="C78" s="30"/>
      <c r="D78" s="36"/>
      <c r="E78" s="18"/>
      <c r="F78" s="12"/>
      <c r="G78" s="37" t="e">
        <v>#VALUE!</v>
      </c>
      <c r="H78" s="6"/>
    </row>
    <row r="79" spans="1:8" ht="15.45" customHeight="1" x14ac:dyDescent="0.4">
      <c r="B79" s="14"/>
      <c r="F79" s="38" t="s">
        <v>28</v>
      </c>
      <c r="G79" s="34" t="e">
        <v>#VALUE!</v>
      </c>
      <c r="H79" s="6"/>
    </row>
    <row r="80" spans="1:8" ht="15.45" customHeight="1" x14ac:dyDescent="0.4">
      <c r="B80" s="14"/>
      <c r="F80" s="32"/>
      <c r="G80" s="40"/>
      <c r="H80" s="6"/>
    </row>
    <row r="81" spans="1:8" ht="15" customHeight="1" thickBot="1" x14ac:dyDescent="0.45">
      <c r="A81" s="21" t="s">
        <v>30</v>
      </c>
      <c r="B81" s="41" t="s">
        <v>81</v>
      </c>
      <c r="C81" t="s">
        <v>82</v>
      </c>
      <c r="D81" s="2" t="s">
        <v>2</v>
      </c>
      <c r="E81" s="3" t="s">
        <v>3</v>
      </c>
      <c r="F81" s="4" t="s">
        <v>4</v>
      </c>
      <c r="G81" s="5" t="s">
        <v>5</v>
      </c>
      <c r="H81" s="49">
        <v>0</v>
      </c>
    </row>
    <row r="82" spans="1:8" ht="15" customHeight="1" thickBot="1" x14ac:dyDescent="0.45">
      <c r="A82" s="8">
        <v>1</v>
      </c>
      <c r="B82" s="36"/>
      <c r="C82" s="30"/>
      <c r="D82" s="36"/>
      <c r="E82" s="18"/>
      <c r="F82" s="12"/>
      <c r="G82" s="37" t="e">
        <v>#VALUE!</v>
      </c>
    </row>
    <row r="83" spans="1:8" ht="15" customHeight="1" thickBot="1" x14ac:dyDescent="0.45">
      <c r="A83" s="15">
        <v>2</v>
      </c>
      <c r="B83" s="36"/>
      <c r="C83" s="30"/>
      <c r="D83" s="36"/>
      <c r="E83" s="18"/>
      <c r="F83" s="12"/>
      <c r="G83" s="37" t="e">
        <v>#VALUE!</v>
      </c>
    </row>
    <row r="84" spans="1:8" ht="15" customHeight="1" thickBot="1" x14ac:dyDescent="0.45">
      <c r="A84" s="8">
        <v>3</v>
      </c>
      <c r="B84" s="36"/>
      <c r="C84" s="30"/>
      <c r="D84" s="36"/>
      <c r="E84" s="18"/>
      <c r="F84" s="12"/>
      <c r="G84" s="37" t="e">
        <v>#VALUE!</v>
      </c>
    </row>
    <row r="85" spans="1:8" ht="15" customHeight="1" thickBot="1" x14ac:dyDescent="0.45">
      <c r="A85" s="15">
        <v>4</v>
      </c>
      <c r="B85" s="36"/>
      <c r="C85" s="30"/>
      <c r="D85" s="36"/>
      <c r="E85" s="18"/>
      <c r="F85" s="12"/>
      <c r="G85" s="37" t="e">
        <v>#VALUE!</v>
      </c>
    </row>
    <row r="86" spans="1:8" ht="15" customHeight="1" thickBot="1" x14ac:dyDescent="0.45">
      <c r="A86" s="8">
        <v>5</v>
      </c>
      <c r="B86" s="36"/>
      <c r="C86" s="30"/>
      <c r="D86" s="36"/>
      <c r="E86" s="18"/>
      <c r="F86" s="12"/>
      <c r="G86" s="37" t="e">
        <v>#VALUE!</v>
      </c>
    </row>
    <row r="87" spans="1:8" ht="15" customHeight="1" thickBot="1" x14ac:dyDescent="0.45">
      <c r="A87" s="15">
        <v>6</v>
      </c>
      <c r="B87" s="36"/>
      <c r="C87" s="30"/>
      <c r="D87" s="36"/>
      <c r="E87" s="18"/>
      <c r="F87" s="12"/>
      <c r="G87" s="37" t="e">
        <v>#VALUE!</v>
      </c>
    </row>
    <row r="88" spans="1:8" ht="15" customHeight="1" thickBot="1" x14ac:dyDescent="0.45">
      <c r="A88" s="8">
        <v>7</v>
      </c>
      <c r="B88" s="36"/>
      <c r="C88" s="30"/>
      <c r="D88" s="36"/>
      <c r="E88" s="18"/>
      <c r="F88" s="12"/>
      <c r="G88" s="37" t="e">
        <v>#VALUE!</v>
      </c>
    </row>
    <row r="89" spans="1:8" ht="15" customHeight="1" thickBot="1" x14ac:dyDescent="0.45">
      <c r="A89" s="15">
        <v>8</v>
      </c>
      <c r="B89" s="36"/>
      <c r="C89" s="30"/>
      <c r="D89" s="36"/>
      <c r="E89" s="18"/>
      <c r="F89" s="12"/>
      <c r="G89" s="37" t="e">
        <v>#VALUE!</v>
      </c>
    </row>
    <row r="90" spans="1:8" ht="15" customHeight="1" thickBot="1" x14ac:dyDescent="0.45">
      <c r="A90" s="8">
        <v>9</v>
      </c>
      <c r="B90" s="36"/>
      <c r="C90" s="30"/>
      <c r="D90" s="36"/>
      <c r="E90" s="18"/>
      <c r="F90" s="12"/>
      <c r="G90" s="37" t="e">
        <v>#VALUE!</v>
      </c>
    </row>
    <row r="91" spans="1:8" ht="15" customHeight="1" thickBot="1" x14ac:dyDescent="0.45">
      <c r="A91" s="15">
        <v>10</v>
      </c>
      <c r="B91" s="36"/>
      <c r="C91" s="30"/>
      <c r="D91" s="36"/>
      <c r="E91" s="18"/>
      <c r="F91" s="12"/>
      <c r="G91" s="37" t="e">
        <v>#VALUE!</v>
      </c>
    </row>
    <row r="92" spans="1:8" ht="15.45" customHeight="1" x14ac:dyDescent="0.4">
      <c r="A92" s="15"/>
      <c r="B92" s="41"/>
      <c r="C92" s="30"/>
      <c r="D92" s="31"/>
      <c r="F92" s="38" t="s">
        <v>28</v>
      </c>
      <c r="G92" s="34" t="e">
        <v>#VALUE!</v>
      </c>
    </row>
    <row r="93" spans="1:8" x14ac:dyDescent="0.4">
      <c r="B93" s="14"/>
      <c r="F93" s="6"/>
      <c r="H93" s="48" t="s">
        <v>29</v>
      </c>
    </row>
    <row r="94" spans="1:8" x14ac:dyDescent="0.4">
      <c r="B94" s="14"/>
      <c r="F94" s="6"/>
      <c r="H94" s="48"/>
    </row>
    <row r="95" spans="1:8" ht="15" customHeight="1" thickBot="1" x14ac:dyDescent="0.45">
      <c r="A95" s="21" t="s">
        <v>30</v>
      </c>
      <c r="B95" s="41" t="s">
        <v>83</v>
      </c>
      <c r="C95" t="s">
        <v>82</v>
      </c>
      <c r="D95" s="43" t="s">
        <v>84</v>
      </c>
      <c r="E95" s="3" t="s">
        <v>3</v>
      </c>
      <c r="F95" s="4" t="s">
        <v>4</v>
      </c>
      <c r="G95" s="5" t="s">
        <v>5</v>
      </c>
      <c r="H95" s="45" t="s">
        <v>85</v>
      </c>
    </row>
    <row r="96" spans="1:8" ht="15" customHeight="1" thickBot="1" x14ac:dyDescent="0.45">
      <c r="A96" s="8">
        <v>1</v>
      </c>
      <c r="B96" s="36"/>
      <c r="C96" s="30"/>
      <c r="D96" s="36"/>
      <c r="E96" s="18"/>
      <c r="F96" s="12"/>
      <c r="G96" s="37" t="e">
        <v>#VALUE!</v>
      </c>
      <c r="H96" s="6"/>
    </row>
    <row r="97" spans="1:8" ht="15" customHeight="1" thickBot="1" x14ac:dyDescent="0.45">
      <c r="A97" s="15">
        <v>2</v>
      </c>
      <c r="B97" s="36"/>
      <c r="C97" s="30"/>
      <c r="D97" s="36"/>
      <c r="E97" s="18"/>
      <c r="F97" s="12"/>
      <c r="G97" s="37" t="e">
        <v>#VALUE!</v>
      </c>
      <c r="H97" s="6"/>
    </row>
    <row r="98" spans="1:8" ht="15" customHeight="1" thickBot="1" x14ac:dyDescent="0.45">
      <c r="A98" s="8">
        <v>3</v>
      </c>
      <c r="B98" s="36"/>
      <c r="C98" s="30"/>
      <c r="D98" s="36"/>
      <c r="E98" s="18"/>
      <c r="F98" s="12"/>
      <c r="G98" s="37" t="e">
        <v>#VALUE!</v>
      </c>
      <c r="H98" s="6"/>
    </row>
    <row r="99" spans="1:8" ht="15" customHeight="1" thickBot="1" x14ac:dyDescent="0.45">
      <c r="A99" s="15">
        <v>4</v>
      </c>
      <c r="B99" s="36"/>
      <c r="C99" s="30"/>
      <c r="D99" s="36"/>
      <c r="E99" s="18"/>
      <c r="F99" s="12"/>
      <c r="G99" s="37" t="e">
        <v>#VALUE!</v>
      </c>
      <c r="H99" s="6"/>
    </row>
    <row r="100" spans="1:8" ht="15" customHeight="1" thickBot="1" x14ac:dyDescent="0.45">
      <c r="A100" s="8">
        <v>5</v>
      </c>
      <c r="B100" s="36"/>
      <c r="C100" s="30"/>
      <c r="D100" s="36"/>
      <c r="E100" s="18"/>
      <c r="F100" s="12"/>
      <c r="G100" s="37" t="e">
        <v>#VALUE!</v>
      </c>
      <c r="H100" s="6"/>
    </row>
    <row r="101" spans="1:8" ht="15" customHeight="1" thickBot="1" x14ac:dyDescent="0.45">
      <c r="A101" s="15">
        <v>6</v>
      </c>
      <c r="B101" s="36"/>
      <c r="C101" s="30"/>
      <c r="D101" s="36"/>
      <c r="E101" s="18"/>
      <c r="F101" s="12"/>
      <c r="G101" s="37" t="e">
        <v>#VALUE!</v>
      </c>
      <c r="H101" s="6"/>
    </row>
    <row r="102" spans="1:8" ht="15" customHeight="1" thickBot="1" x14ac:dyDescent="0.45">
      <c r="A102" s="8">
        <v>7</v>
      </c>
      <c r="B102" s="36"/>
      <c r="C102" s="30"/>
      <c r="D102" s="36"/>
      <c r="E102" s="18"/>
      <c r="F102" s="12"/>
      <c r="G102" s="37" t="e">
        <v>#VALUE!</v>
      </c>
      <c r="H102" s="6"/>
    </row>
    <row r="103" spans="1:8" ht="15" customHeight="1" thickBot="1" x14ac:dyDescent="0.45">
      <c r="A103" s="15">
        <v>8</v>
      </c>
      <c r="B103" s="36"/>
      <c r="C103" s="30"/>
      <c r="D103" s="36"/>
      <c r="E103" s="18"/>
      <c r="F103" s="12"/>
      <c r="G103" s="37" t="e">
        <v>#VALUE!</v>
      </c>
      <c r="H103" s="6"/>
    </row>
    <row r="104" spans="1:8" ht="15" customHeight="1" thickBot="1" x14ac:dyDescent="0.45">
      <c r="A104" s="8">
        <v>9</v>
      </c>
      <c r="B104" s="36"/>
      <c r="C104" s="30"/>
      <c r="D104" s="36"/>
      <c r="E104" s="18"/>
      <c r="F104" s="12"/>
      <c r="G104" s="37" t="e">
        <v>#VALUE!</v>
      </c>
      <c r="H104" s="6"/>
    </row>
    <row r="105" spans="1:8" ht="15" customHeight="1" thickBot="1" x14ac:dyDescent="0.45">
      <c r="A105" s="15">
        <v>10</v>
      </c>
      <c r="B105" s="36"/>
      <c r="C105" s="30"/>
      <c r="D105" s="36"/>
      <c r="E105" s="18"/>
      <c r="F105" s="12"/>
      <c r="G105" s="37" t="e">
        <v>#VALUE!</v>
      </c>
      <c r="H105" s="6"/>
    </row>
    <row r="106" spans="1:8" ht="15.45" customHeight="1" x14ac:dyDescent="0.4">
      <c r="B106" s="41"/>
      <c r="C106" s="30"/>
      <c r="D106" s="31"/>
      <c r="F106" s="44" t="s">
        <v>28</v>
      </c>
      <c r="G106" s="34" t="e">
        <v>#VALUE!</v>
      </c>
      <c r="H106" s="6"/>
    </row>
    <row r="107" spans="1:8" x14ac:dyDescent="0.4">
      <c r="B107" s="41"/>
      <c r="C107" s="30"/>
      <c r="D107" s="31"/>
      <c r="E107" s="31"/>
      <c r="H107" s="48" t="s">
        <v>29</v>
      </c>
    </row>
    <row r="108" spans="1:8" x14ac:dyDescent="0.4">
      <c r="B108" s="14"/>
      <c r="D108" s="31"/>
    </row>
    <row r="109" spans="1:8" x14ac:dyDescent="0.4">
      <c r="B109" s="14"/>
      <c r="D109" s="50"/>
      <c r="H109" s="48" t="s">
        <v>29</v>
      </c>
    </row>
  </sheetData>
  <conditionalFormatting sqref="B56:B65">
    <cfRule type="expression" dxfId="179" priority="23" stopIfTrue="1">
      <formula>IF(AO56&gt;0,TRUE,FALSE)</formula>
    </cfRule>
  </conditionalFormatting>
  <conditionalFormatting sqref="B69:B78">
    <cfRule type="expression" dxfId="178" priority="21" stopIfTrue="1">
      <formula>IF(AO69&gt;0,TRUE,FALSE)</formula>
    </cfRule>
  </conditionalFormatting>
  <conditionalFormatting sqref="B81">
    <cfRule type="expression" dxfId="177" priority="63" stopIfTrue="1">
      <formula>IF(AN62&gt;0,TRUE,FALSE)</formula>
    </cfRule>
  </conditionalFormatting>
  <conditionalFormatting sqref="B82:B91">
    <cfRule type="expression" dxfId="176" priority="27" stopIfTrue="1">
      <formula>IF(AL82&gt;0,TRUE,FALSE)</formula>
    </cfRule>
  </conditionalFormatting>
  <conditionalFormatting sqref="B92">
    <cfRule type="expression" dxfId="175" priority="59" stopIfTrue="1">
      <formula>IF(AL91&gt;0,TRUE,FALSE)</formula>
    </cfRule>
  </conditionalFormatting>
  <conditionalFormatting sqref="B95">
    <cfRule type="expression" dxfId="174" priority="62" stopIfTrue="1">
      <formula>IF(AN75&gt;0,TRUE,FALSE)</formula>
    </cfRule>
  </conditionalFormatting>
  <conditionalFormatting sqref="B96:B105">
    <cfRule type="expression" dxfId="173" priority="25" stopIfTrue="1">
      <formula>IF(AO96&gt;0,TRUE,FALSE)</formula>
    </cfRule>
  </conditionalFormatting>
  <conditionalFormatting sqref="B106">
    <cfRule type="expression" dxfId="172" priority="60" stopIfTrue="1">
      <formula>IF(AN104&gt;0,TRUE,FALSE)</formula>
    </cfRule>
  </conditionalFormatting>
  <conditionalFormatting sqref="B107">
    <cfRule type="expression" dxfId="171" priority="61" stopIfTrue="1">
      <formula>IF(AN104&gt;0,TRUE,FALSE)</formula>
    </cfRule>
  </conditionalFormatting>
  <conditionalFormatting sqref="D1:D109">
    <cfRule type="expression" dxfId="170" priority="19">
      <formula>AND(ISNUMBER($A1),$D1&lt;&gt;"",COUNTIF($D$1:$D$109,$D1)&gt;1)</formula>
    </cfRule>
  </conditionalFormatting>
  <conditionalFormatting sqref="D56:D65">
    <cfRule type="expression" dxfId="169" priority="22" stopIfTrue="1">
      <formula>IF(AQ56&gt;0,TRUE,FALSE)</formula>
    </cfRule>
  </conditionalFormatting>
  <conditionalFormatting sqref="D69:D78">
    <cfRule type="expression" dxfId="168" priority="20" stopIfTrue="1">
      <formula>IF(AQ69&gt;0,TRUE,FALSE)</formula>
    </cfRule>
  </conditionalFormatting>
  <conditionalFormatting sqref="D82:D91">
    <cfRule type="expression" dxfId="167" priority="26" stopIfTrue="1">
      <formula>IF(AN82&gt;0,TRUE,FALSE)</formula>
    </cfRule>
  </conditionalFormatting>
  <conditionalFormatting sqref="D96:D105">
    <cfRule type="expression" dxfId="166" priority="24" stopIfTrue="1">
      <formula>IF(AQ96&gt;0,TRUE,FALSE)</formula>
    </cfRule>
  </conditionalFormatting>
  <conditionalFormatting sqref="F2:F11 F16:F25">
    <cfRule type="expression" dxfId="165" priority="33" stopIfTrue="1">
      <formula>IF($T200="AAA",TRUE,FALSE)</formula>
    </cfRule>
    <cfRule type="expression" dxfId="164" priority="34" stopIfTrue="1">
      <formula>IF($U200="AAA",TRUE,FALSE)</formula>
    </cfRule>
    <cfRule type="expression" dxfId="163" priority="35" stopIfTrue="1">
      <formula>IF($AN1048554="AAA",TRUE,FALSE)</formula>
    </cfRule>
    <cfRule type="expression" dxfId="162" priority="37" stopIfTrue="1">
      <formula>IF($U200="AAA",TRUE,FALSE)</formula>
    </cfRule>
    <cfRule type="expression" dxfId="161" priority="36" stopIfTrue="1">
      <formula>IF($T200="AAA",TRUE,FALSE)</formula>
    </cfRule>
    <cfRule type="expression" dxfId="160" priority="32" stopIfTrue="1">
      <formula>IF(#REF!="AAA",TRUE,FALSE)</formula>
    </cfRule>
  </conditionalFormatting>
  <conditionalFormatting sqref="F30:F39">
    <cfRule type="expression" dxfId="159" priority="18" stopIfTrue="1">
      <formula>IF($U228="AAA",TRUE,FALSE)</formula>
    </cfRule>
    <cfRule type="expression" dxfId="158" priority="17" stopIfTrue="1">
      <formula>IF($T228="AAA",TRUE,FALSE)</formula>
    </cfRule>
    <cfRule type="expression" dxfId="157" priority="16" stopIfTrue="1">
      <formula>IF($AN6="AAA",TRUE,FALSE)</formula>
    </cfRule>
    <cfRule type="expression" dxfId="156" priority="13" stopIfTrue="1">
      <formula>IF(#REF!="AAA",TRUE,FALSE)</formula>
    </cfRule>
    <cfRule type="expression" dxfId="155" priority="15" stopIfTrue="1">
      <formula>IF($U228="AAA",TRUE,FALSE)</formula>
    </cfRule>
    <cfRule type="expression" dxfId="154" priority="14" stopIfTrue="1">
      <formula>IF($T228="AAA",TRUE,FALSE)</formula>
    </cfRule>
  </conditionalFormatting>
  <conditionalFormatting sqref="F43:F52">
    <cfRule type="expression" dxfId="153" priority="81" stopIfTrue="1">
      <formula>IF($AN17="AAA",TRUE,FALSE)</formula>
    </cfRule>
    <cfRule type="expression" dxfId="152" priority="83" stopIfTrue="1">
      <formula>IF($U242="AAA",TRUE,FALSE)</formula>
    </cfRule>
    <cfRule type="expression" dxfId="151" priority="82" stopIfTrue="1">
      <formula>IF($T242="AAA",TRUE,FALSE)</formula>
    </cfRule>
    <cfRule type="expression" dxfId="150" priority="80" stopIfTrue="1">
      <formula>IF($U242="AAA",TRUE,FALSE)</formula>
    </cfRule>
    <cfRule type="expression" dxfId="149" priority="78" stopIfTrue="1">
      <formula>IF(#REF!="AAA",TRUE,FALSE)</formula>
    </cfRule>
    <cfRule type="expression" dxfId="148" priority="79" stopIfTrue="1">
      <formula>IF($T242="AAA",TRUE,FALSE)</formula>
    </cfRule>
  </conditionalFormatting>
  <conditionalFormatting sqref="F56:F65">
    <cfRule type="expression" dxfId="147" priority="8" stopIfTrue="1">
      <formula>IF($T255="AAA",TRUE,FALSE)</formula>
    </cfRule>
    <cfRule type="expression" dxfId="146" priority="9" stopIfTrue="1">
      <formula>IF($U255="AAA",TRUE,FALSE)</formula>
    </cfRule>
    <cfRule type="expression" dxfId="145" priority="10" stopIfTrue="1">
      <formula>IF($AN30="AAA",TRUE,FALSE)</formula>
    </cfRule>
    <cfRule type="expression" dxfId="144" priority="11" stopIfTrue="1">
      <formula>IF($T255="AAA",TRUE,FALSE)</formula>
    </cfRule>
    <cfRule type="expression" dxfId="143" priority="12" stopIfTrue="1">
      <formula>IF($U255="AAA",TRUE,FALSE)</formula>
    </cfRule>
    <cfRule type="expression" dxfId="142" priority="7" stopIfTrue="1">
      <formula>IF(#REF!="AAA",TRUE,FALSE)</formula>
    </cfRule>
  </conditionalFormatting>
  <conditionalFormatting sqref="F67">
    <cfRule type="expression" dxfId="141" priority="84" stopIfTrue="1">
      <formula>IF(#REF!="AAA",TRUE,FALSE)</formula>
    </cfRule>
    <cfRule type="expression" dxfId="140" priority="85" stopIfTrue="1">
      <formula>IF($AK39="AAA",TRUE,FALSE)</formula>
    </cfRule>
    <cfRule type="expression" dxfId="139" priority="86" stopIfTrue="1">
      <formula>IF($T265="AAA",TRUE,FALSE)</formula>
    </cfRule>
    <cfRule type="expression" dxfId="138" priority="87" stopIfTrue="1">
      <formula>IF($U265="AAA",TRUE,FALSE)</formula>
    </cfRule>
  </conditionalFormatting>
  <conditionalFormatting sqref="F69:F78">
    <cfRule type="expression" dxfId="137" priority="2" stopIfTrue="1">
      <formula>IF($T268="AAA",TRUE,FALSE)</formula>
    </cfRule>
    <cfRule type="expression" dxfId="136" priority="3" stopIfTrue="1">
      <formula>IF($U268="AAA",TRUE,FALSE)</formula>
    </cfRule>
    <cfRule type="expression" dxfId="135" priority="4" stopIfTrue="1">
      <formula>IF($AN43="AAA",TRUE,FALSE)</formula>
    </cfRule>
    <cfRule type="expression" dxfId="134" priority="5" stopIfTrue="1">
      <formula>IF($T268="AAA",TRUE,FALSE)</formula>
    </cfRule>
    <cfRule type="expression" dxfId="133" priority="6" stopIfTrue="1">
      <formula>IF($U268="AAA",TRUE,FALSE)</formula>
    </cfRule>
    <cfRule type="expression" dxfId="132" priority="1" stopIfTrue="1">
      <formula>IF(#REF!="AAA",TRUE,FALSE)</formula>
    </cfRule>
  </conditionalFormatting>
  <conditionalFormatting sqref="F82">
    <cfRule type="expression" dxfId="131" priority="90" stopIfTrue="1">
      <formula>IF($U278="AAA",TRUE,FALSE)</formula>
    </cfRule>
    <cfRule type="expression" dxfId="130" priority="88" stopIfTrue="1">
      <formula>IF($AJ53="AAA",TRUE,FALSE)</formula>
    </cfRule>
    <cfRule type="expression" dxfId="129" priority="89" stopIfTrue="1">
      <formula>IF($T278="AAA",TRUE,FALSE)</formula>
    </cfRule>
  </conditionalFormatting>
  <conditionalFormatting sqref="F82:F91">
    <cfRule type="expression" dxfId="128" priority="67" stopIfTrue="1">
      <formula>IF(#REF!="AAA",TRUE,FALSE)</formula>
    </cfRule>
  </conditionalFormatting>
  <conditionalFormatting sqref="F83:F91">
    <cfRule type="expression" dxfId="127" priority="68" stopIfTrue="1">
      <formula>IF($AN55="AAA",TRUE,FALSE)</formula>
    </cfRule>
    <cfRule type="expression" dxfId="126" priority="69" stopIfTrue="1">
      <formula>IF($T279="AAA",TRUE,FALSE)</formula>
    </cfRule>
    <cfRule type="expression" dxfId="125" priority="70" stopIfTrue="1">
      <formula>IF($U279="AAA",TRUE,FALSE)</formula>
    </cfRule>
  </conditionalFormatting>
  <conditionalFormatting sqref="F96:F97">
    <cfRule type="expression" dxfId="124" priority="77" stopIfTrue="1">
      <formula>IF($U291="AAA",TRUE,FALSE)</formula>
    </cfRule>
    <cfRule type="expression" dxfId="123" priority="76" stopIfTrue="1">
      <formula>IF($T291="AAA",TRUE,FALSE)</formula>
    </cfRule>
    <cfRule type="expression" dxfId="122" priority="75" stopIfTrue="1">
      <formula>IF($AN65="AAA",TRUE,FALSE)</formula>
    </cfRule>
  </conditionalFormatting>
  <conditionalFormatting sqref="F96:F106">
    <cfRule type="expression" dxfId="121" priority="71" stopIfTrue="1">
      <formula>IF(#REF!="AAA",TRUE,FALSE)</formula>
    </cfRule>
  </conditionalFormatting>
  <conditionalFormatting sqref="F98:F106">
    <cfRule type="expression" dxfId="120" priority="72" stopIfTrue="1">
      <formula>IF($AN68="AAA",TRUE,FALSE)</formula>
    </cfRule>
    <cfRule type="expression" dxfId="119" priority="73" stopIfTrue="1">
      <formula>IF($T293="AAA",TRUE,FALSE)</formula>
    </cfRule>
    <cfRule type="expression" dxfId="118" priority="74" stopIfTrue="1">
      <formula>IF($U293="AAA",TRUE,FALSE)</formula>
    </cfRule>
  </conditionalFormatting>
  <conditionalFormatting sqref="G2:G12 G16:G26 G30:G41">
    <cfRule type="cellIs" dxfId="117" priority="66" stopIfTrue="1" operator="greaterThanOrEqual">
      <formula>#REF!</formula>
    </cfRule>
    <cfRule type="cellIs" dxfId="116" priority="65" stopIfTrue="1" operator="lessThan">
      <formula>0</formula>
    </cfRule>
  </conditionalFormatting>
  <conditionalFormatting sqref="G2:G12 G16:G28">
    <cfRule type="cellIs" dxfId="115" priority="38" stopIfTrue="1" operator="lessThan">
      <formula>0</formula>
    </cfRule>
  </conditionalFormatting>
  <conditionalFormatting sqref="G30:G41 G2:G12 G16:G26">
    <cfRule type="cellIs" dxfId="114" priority="64" operator="greaterThan">
      <formula>#REF!</formula>
    </cfRule>
  </conditionalFormatting>
  <conditionalFormatting sqref="G43:G54 G30:G41 G56:G67">
    <cfRule type="cellIs" dxfId="113" priority="55" stopIfTrue="1" operator="lessThan">
      <formula>0</formula>
    </cfRule>
  </conditionalFormatting>
  <conditionalFormatting sqref="G43:G54">
    <cfRule type="cellIs" dxfId="112" priority="45" stopIfTrue="1" operator="lessThan">
      <formula>0</formula>
    </cfRule>
    <cfRule type="cellIs" dxfId="111" priority="44" operator="greaterThan">
      <formula>#REF!</formula>
    </cfRule>
    <cfRule type="cellIs" dxfId="110" priority="43" stopIfTrue="1" operator="lessThan">
      <formula>0</formula>
    </cfRule>
    <cfRule type="cellIs" dxfId="109" priority="46" stopIfTrue="1" operator="greaterThanOrEqual">
      <formula>#REF!</formula>
    </cfRule>
  </conditionalFormatting>
  <conditionalFormatting sqref="G53:G54">
    <cfRule type="cellIs" dxfId="108" priority="31" stopIfTrue="1" operator="greaterThanOrEqual">
      <formula>#REF!</formula>
    </cfRule>
    <cfRule type="cellIs" dxfId="107" priority="30" stopIfTrue="1" operator="lessThan">
      <formula>0</formula>
    </cfRule>
    <cfRule type="cellIs" dxfId="106" priority="29" operator="greaterThan">
      <formula>#REF!</formula>
    </cfRule>
  </conditionalFormatting>
  <conditionalFormatting sqref="G56:G67">
    <cfRule type="cellIs" dxfId="105" priority="56" operator="greaterThan">
      <formula>#REF!</formula>
    </cfRule>
    <cfRule type="cellIs" dxfId="104" priority="57" stopIfTrue="1" operator="lessThan">
      <formula>0</formula>
    </cfRule>
    <cfRule type="cellIs" dxfId="103" priority="58" stopIfTrue="1" operator="greaterThanOrEqual">
      <formula>#REF!</formula>
    </cfRule>
  </conditionalFormatting>
  <conditionalFormatting sqref="G69:G80">
    <cfRule type="cellIs" dxfId="102" priority="42" stopIfTrue="1" operator="greaterThanOrEqual">
      <formula>#REF!</formula>
    </cfRule>
    <cfRule type="cellIs" dxfId="101" priority="41" stopIfTrue="1" operator="lessThan">
      <formula>0</formula>
    </cfRule>
    <cfRule type="cellIs" dxfId="100" priority="40" operator="greaterThan">
      <formula>#REF!</formula>
    </cfRule>
    <cfRule type="cellIs" dxfId="99" priority="39" stopIfTrue="1" operator="lessThan">
      <formula>0</formula>
    </cfRule>
  </conditionalFormatting>
  <conditionalFormatting sqref="G82:G92">
    <cfRule type="cellIs" dxfId="98" priority="53" stopIfTrue="1" operator="lessThan">
      <formula>0</formula>
    </cfRule>
    <cfRule type="cellIs" dxfId="97" priority="54" stopIfTrue="1" operator="greaterThanOrEqual">
      <formula>#REF!</formula>
    </cfRule>
    <cfRule type="cellIs" dxfId="96" priority="51" stopIfTrue="1" operator="lessThan">
      <formula>0</formula>
    </cfRule>
    <cfRule type="cellIs" dxfId="95" priority="52" operator="greaterThan">
      <formula>#REF!</formula>
    </cfRule>
  </conditionalFormatting>
  <conditionalFormatting sqref="G96:G106">
    <cfRule type="cellIs" dxfId="94" priority="47" stopIfTrue="1" operator="lessThan">
      <formula>0</formula>
    </cfRule>
    <cfRule type="cellIs" dxfId="93" priority="48" operator="greaterThan">
      <formula>#REF!</formula>
    </cfRule>
    <cfRule type="cellIs" dxfId="92" priority="49" stopIfTrue="1" operator="lessThan">
      <formula>0</formula>
    </cfRule>
    <cfRule type="cellIs" dxfId="91" priority="50" stopIfTrue="1" operator="greaterThanOrEqual">
      <formula>#REF!</formula>
    </cfRule>
  </conditionalFormatting>
  <conditionalFormatting sqref="H81">
    <cfRule type="cellIs" dxfId="90" priority="28" operator="greaterThan">
      <formula>$H81</formula>
    </cfRule>
  </conditionalFormatting>
  <pageMargins left="0.7" right="0.7" top="0.75" bottom="0.75" header="0.3" footer="0.3"/>
  <pageSetup paperSize="9" orientation="portrait" horizontalDpi="4294967293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1"/>
  <dimension ref="A1:H109"/>
  <sheetViews>
    <sheetView tabSelected="1" workbookViewId="0"/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8" ht="15" customHeight="1" thickBot="1" x14ac:dyDescent="0.45">
      <c r="A1" s="52">
        <v>46311</v>
      </c>
      <c r="B1" s="1" t="s">
        <v>0</v>
      </c>
      <c r="C1" s="2" t="s">
        <v>1</v>
      </c>
      <c r="D1" s="2" t="s">
        <v>2</v>
      </c>
      <c r="E1" s="3" t="s">
        <v>3</v>
      </c>
      <c r="F1" s="4" t="s">
        <v>4</v>
      </c>
      <c r="G1" s="5" t="s">
        <v>5</v>
      </c>
      <c r="H1" s="45" t="s">
        <v>6</v>
      </c>
    </row>
    <row r="2" spans="1:8" ht="15" customHeight="1" thickBot="1" x14ac:dyDescent="0.45">
      <c r="A2" s="8">
        <v>1</v>
      </c>
      <c r="B2" s="9" t="s">
        <v>7</v>
      </c>
      <c r="C2" s="9" t="s">
        <v>8</v>
      </c>
      <c r="D2" s="10" t="s">
        <v>9</v>
      </c>
      <c r="E2" s="11">
        <v>51.55</v>
      </c>
      <c r="F2" s="12">
        <v>52.15</v>
      </c>
      <c r="G2" s="13">
        <f t="shared" ref="G2:G11" si="0">(F2/E2-1)</f>
        <v>1.1639185257032114E-2</v>
      </c>
      <c r="H2" s="14"/>
    </row>
    <row r="3" spans="1:8" ht="15" customHeight="1" thickBot="1" x14ac:dyDescent="0.45">
      <c r="A3" s="15">
        <v>2</v>
      </c>
      <c r="B3" s="9" t="s">
        <v>10</v>
      </c>
      <c r="C3" s="9" t="s">
        <v>8</v>
      </c>
      <c r="D3" s="10" t="s">
        <v>11</v>
      </c>
      <c r="E3" s="11">
        <v>25.86</v>
      </c>
      <c r="F3" s="12">
        <v>24.9</v>
      </c>
      <c r="G3" s="13">
        <f t="shared" si="0"/>
        <v>-3.7122969837587005E-2</v>
      </c>
      <c r="H3" s="6"/>
    </row>
    <row r="4" spans="1:8" ht="15" customHeight="1" thickBot="1" x14ac:dyDescent="0.45">
      <c r="A4" s="8">
        <v>3</v>
      </c>
      <c r="B4" s="9" t="s">
        <v>12</v>
      </c>
      <c r="C4" s="9" t="s">
        <v>8</v>
      </c>
      <c r="D4" s="10" t="s">
        <v>13</v>
      </c>
      <c r="E4" s="11">
        <v>1.766</v>
      </c>
      <c r="F4" s="12">
        <v>1.7689999999999999</v>
      </c>
      <c r="G4" s="13">
        <f t="shared" si="0"/>
        <v>1.6987542468855921E-3</v>
      </c>
      <c r="H4" s="6"/>
    </row>
    <row r="5" spans="1:8" ht="15" customHeight="1" thickBot="1" x14ac:dyDescent="0.45">
      <c r="A5" s="15">
        <v>4</v>
      </c>
      <c r="B5" s="9" t="s">
        <v>14</v>
      </c>
      <c r="C5" s="9" t="s">
        <v>8</v>
      </c>
      <c r="D5" s="10" t="s">
        <v>15</v>
      </c>
      <c r="E5" s="11">
        <v>31.4</v>
      </c>
      <c r="F5" s="12">
        <v>31.7</v>
      </c>
      <c r="G5" s="13">
        <f t="shared" si="0"/>
        <v>9.5541401273886439E-3</v>
      </c>
      <c r="H5" s="6"/>
    </row>
    <row r="6" spans="1:8" ht="15" customHeight="1" thickBot="1" x14ac:dyDescent="0.45">
      <c r="A6" s="8">
        <v>5</v>
      </c>
      <c r="B6" s="9" t="s">
        <v>16</v>
      </c>
      <c r="C6" s="9" t="s">
        <v>8</v>
      </c>
      <c r="D6" s="10" t="s">
        <v>17</v>
      </c>
      <c r="E6" s="11">
        <v>56.35</v>
      </c>
      <c r="F6" s="12">
        <v>59.95</v>
      </c>
      <c r="G6" s="13">
        <f t="shared" si="0"/>
        <v>6.3886424134871334E-2</v>
      </c>
      <c r="H6" s="6"/>
    </row>
    <row r="7" spans="1:8" ht="15" customHeight="1" thickBot="1" x14ac:dyDescent="0.45">
      <c r="A7" s="15">
        <v>6</v>
      </c>
      <c r="B7" s="9" t="s">
        <v>18</v>
      </c>
      <c r="C7" s="9" t="s">
        <v>8</v>
      </c>
      <c r="D7" s="10" t="s">
        <v>19</v>
      </c>
      <c r="E7" s="11">
        <v>167.2</v>
      </c>
      <c r="F7" s="12">
        <v>177.7</v>
      </c>
      <c r="G7" s="13">
        <f t="shared" si="0"/>
        <v>6.2799043062200965E-2</v>
      </c>
      <c r="H7" s="6"/>
    </row>
    <row r="8" spans="1:8" ht="15" customHeight="1" thickBot="1" x14ac:dyDescent="0.45">
      <c r="A8" s="8">
        <v>7</v>
      </c>
      <c r="B8" s="9" t="s">
        <v>20</v>
      </c>
      <c r="C8" s="9" t="s">
        <v>8</v>
      </c>
      <c r="D8" s="10" t="s">
        <v>21</v>
      </c>
      <c r="E8" s="11">
        <v>80.709999999999994</v>
      </c>
      <c r="F8" s="12">
        <v>83.45</v>
      </c>
      <c r="G8" s="13">
        <f t="shared" si="0"/>
        <v>3.3948705240986365E-2</v>
      </c>
      <c r="H8" s="6"/>
    </row>
    <row r="9" spans="1:8" ht="15" customHeight="1" thickBot="1" x14ac:dyDescent="0.45">
      <c r="A9" s="15">
        <v>8</v>
      </c>
      <c r="B9" s="9" t="s">
        <v>22</v>
      </c>
      <c r="C9" s="9" t="s">
        <v>8</v>
      </c>
      <c r="D9" s="10" t="s">
        <v>23</v>
      </c>
      <c r="E9" s="11">
        <v>32.4</v>
      </c>
      <c r="F9" s="12">
        <v>32.090000000000003</v>
      </c>
      <c r="G9" s="13">
        <f t="shared" si="0"/>
        <v>-9.5679012345677439E-3</v>
      </c>
      <c r="H9" s="6"/>
    </row>
    <row r="10" spans="1:8" ht="15" customHeight="1" thickBot="1" x14ac:dyDescent="0.45">
      <c r="A10" s="8">
        <v>9</v>
      </c>
      <c r="B10" s="9" t="s">
        <v>24</v>
      </c>
      <c r="C10" s="9" t="s">
        <v>25</v>
      </c>
      <c r="D10" s="10" t="s">
        <v>26</v>
      </c>
      <c r="E10" s="11">
        <v>8.2000000000000003E-2</v>
      </c>
      <c r="F10" s="12">
        <v>8.1000000000000003E-2</v>
      </c>
      <c r="G10" s="13">
        <f t="shared" si="0"/>
        <v>-1.2195121951219523E-2</v>
      </c>
      <c r="H10" s="6"/>
    </row>
    <row r="11" spans="1:8" ht="15" customHeight="1" thickBot="1" x14ac:dyDescent="0.45">
      <c r="A11" s="15">
        <v>10</v>
      </c>
      <c r="B11" s="9" t="s">
        <v>27</v>
      </c>
      <c r="C11" s="9" t="s">
        <v>8</v>
      </c>
      <c r="D11" s="10" t="s">
        <v>27</v>
      </c>
      <c r="E11" s="11">
        <v>2.88</v>
      </c>
      <c r="F11" s="12">
        <v>2.86</v>
      </c>
      <c r="G11" s="13">
        <f t="shared" si="0"/>
        <v>-6.9444444444444198E-3</v>
      </c>
      <c r="H11" s="6"/>
    </row>
    <row r="12" spans="1:8" ht="15.45" customHeight="1" thickBot="1" x14ac:dyDescent="0.45">
      <c r="A12" s="15"/>
      <c r="B12" s="7"/>
      <c r="C12" s="16"/>
      <c r="D12" s="17"/>
      <c r="E12" s="18"/>
      <c r="F12" s="19" t="s">
        <v>28</v>
      </c>
      <c r="G12" s="20">
        <v>1.1769581460154633E-2</v>
      </c>
      <c r="H12" s="46" t="s">
        <v>29</v>
      </c>
    </row>
    <row r="13" spans="1:8" x14ac:dyDescent="0.4">
      <c r="B13" s="14"/>
      <c r="F13" s="6"/>
      <c r="H13" s="6"/>
    </row>
    <row r="14" spans="1:8" x14ac:dyDescent="0.4">
      <c r="B14" s="14"/>
      <c r="F14" s="6"/>
      <c r="H14" s="6"/>
    </row>
    <row r="15" spans="1:8" ht="15" customHeight="1" thickBot="1" x14ac:dyDescent="0.45">
      <c r="A15" s="21" t="s">
        <v>30</v>
      </c>
      <c r="B15" s="1" t="s">
        <v>0</v>
      </c>
      <c r="C15" s="2" t="s">
        <v>1</v>
      </c>
      <c r="D15" s="2" t="s">
        <v>2</v>
      </c>
      <c r="E15" s="3" t="s">
        <v>3</v>
      </c>
      <c r="F15" s="4" t="s">
        <v>4</v>
      </c>
      <c r="G15" s="5" t="s">
        <v>5</v>
      </c>
      <c r="H15" s="45" t="s">
        <v>31</v>
      </c>
    </row>
    <row r="16" spans="1:8" ht="15" customHeight="1" thickBot="1" x14ac:dyDescent="0.45">
      <c r="A16" s="8">
        <v>1</v>
      </c>
      <c r="B16" s="9" t="s">
        <v>32</v>
      </c>
      <c r="C16" s="9" t="s">
        <v>8</v>
      </c>
      <c r="D16" s="10" t="s">
        <v>33</v>
      </c>
      <c r="E16" s="22">
        <v>14.52</v>
      </c>
      <c r="F16" s="12">
        <v>16.14</v>
      </c>
      <c r="G16" s="13">
        <f t="shared" ref="G16:G25" si="1">(F16/E16-1)</f>
        <v>0.11157024793388426</v>
      </c>
      <c r="H16" s="47"/>
    </row>
    <row r="17" spans="1:8" ht="15" customHeight="1" thickBot="1" x14ac:dyDescent="0.45">
      <c r="A17" s="15">
        <v>2</v>
      </c>
      <c r="B17" s="9" t="s">
        <v>34</v>
      </c>
      <c r="C17" s="9" t="s">
        <v>25</v>
      </c>
      <c r="D17" s="10" t="s">
        <v>35</v>
      </c>
      <c r="E17" s="22">
        <v>21.6</v>
      </c>
      <c r="F17" s="12">
        <v>20.5</v>
      </c>
      <c r="G17" s="13">
        <f t="shared" si="1"/>
        <v>-5.0925925925926041E-2</v>
      </c>
      <c r="H17" s="6"/>
    </row>
    <row r="18" spans="1:8" ht="15" customHeight="1" thickBot="1" x14ac:dyDescent="0.45">
      <c r="A18" s="8">
        <v>3</v>
      </c>
      <c r="B18" s="9" t="s">
        <v>36</v>
      </c>
      <c r="C18" s="9" t="s">
        <v>8</v>
      </c>
      <c r="D18" s="10" t="s">
        <v>37</v>
      </c>
      <c r="E18" s="22">
        <v>433.2</v>
      </c>
      <c r="F18" s="12">
        <v>417.8</v>
      </c>
      <c r="G18" s="13">
        <f t="shared" si="1"/>
        <v>-3.5549399815327787E-2</v>
      </c>
      <c r="H18" s="6"/>
    </row>
    <row r="19" spans="1:8" ht="15" customHeight="1" thickBot="1" x14ac:dyDescent="0.45">
      <c r="A19" s="15">
        <v>4</v>
      </c>
      <c r="B19" s="9" t="s">
        <v>38</v>
      </c>
      <c r="C19" s="9" t="s">
        <v>8</v>
      </c>
      <c r="D19" s="10" t="s">
        <v>39</v>
      </c>
      <c r="E19" s="22">
        <v>1.546</v>
      </c>
      <c r="F19" s="12">
        <v>1.61</v>
      </c>
      <c r="G19" s="13">
        <f t="shared" si="1"/>
        <v>4.1397153945666343E-2</v>
      </c>
      <c r="H19" s="6"/>
    </row>
    <row r="20" spans="1:8" ht="15" customHeight="1" thickBot="1" x14ac:dyDescent="0.45">
      <c r="A20" s="8">
        <v>5</v>
      </c>
      <c r="B20" s="9" t="s">
        <v>40</v>
      </c>
      <c r="C20" s="9" t="s">
        <v>8</v>
      </c>
      <c r="D20" s="10" t="s">
        <v>41</v>
      </c>
      <c r="E20" s="22">
        <v>6.12</v>
      </c>
      <c r="F20" s="12">
        <v>5.99</v>
      </c>
      <c r="G20" s="13">
        <f t="shared" si="1"/>
        <v>-2.1241830065359513E-2</v>
      </c>
      <c r="H20" s="6"/>
    </row>
    <row r="21" spans="1:8" ht="15" customHeight="1" thickBot="1" x14ac:dyDescent="0.45">
      <c r="A21" s="15">
        <v>6</v>
      </c>
      <c r="B21" s="9" t="s">
        <v>42</v>
      </c>
      <c r="C21" s="9" t="s">
        <v>8</v>
      </c>
      <c r="D21" s="10" t="s">
        <v>43</v>
      </c>
      <c r="E21" s="22">
        <v>28.55</v>
      </c>
      <c r="F21" s="12">
        <v>29.65</v>
      </c>
      <c r="G21" s="13">
        <f t="shared" si="1"/>
        <v>3.8528896672504365E-2</v>
      </c>
      <c r="H21" s="6"/>
    </row>
    <row r="22" spans="1:8" ht="15" customHeight="1" thickBot="1" x14ac:dyDescent="0.45">
      <c r="A22" s="8">
        <v>7</v>
      </c>
      <c r="B22" s="9" t="s">
        <v>44</v>
      </c>
      <c r="C22" s="9" t="s">
        <v>8</v>
      </c>
      <c r="D22" s="10" t="s">
        <v>45</v>
      </c>
      <c r="E22" s="22">
        <v>59</v>
      </c>
      <c r="F22" s="12">
        <v>58.5</v>
      </c>
      <c r="G22" s="13">
        <f t="shared" si="1"/>
        <v>-8.4745762711864181E-3</v>
      </c>
      <c r="H22" s="6"/>
    </row>
    <row r="23" spans="1:8" ht="15" customHeight="1" thickBot="1" x14ac:dyDescent="0.45">
      <c r="A23" s="15">
        <v>8</v>
      </c>
      <c r="B23" s="9" t="s">
        <v>46</v>
      </c>
      <c r="C23" s="9" t="s">
        <v>8</v>
      </c>
      <c r="D23" s="10" t="s">
        <v>47</v>
      </c>
      <c r="E23" s="22">
        <v>125.6</v>
      </c>
      <c r="F23" s="12">
        <v>125.3</v>
      </c>
      <c r="G23" s="13">
        <f t="shared" si="1"/>
        <v>-2.3885350318471055E-3</v>
      </c>
      <c r="H23" s="6"/>
    </row>
    <row r="24" spans="1:8" ht="15" customHeight="1" thickBot="1" x14ac:dyDescent="0.45">
      <c r="A24" s="8">
        <v>9</v>
      </c>
      <c r="B24" s="9" t="s">
        <v>48</v>
      </c>
      <c r="C24" s="9" t="s">
        <v>8</v>
      </c>
      <c r="D24" s="10" t="s">
        <v>49</v>
      </c>
      <c r="E24" s="22">
        <v>8.4</v>
      </c>
      <c r="F24" s="12">
        <v>8.67</v>
      </c>
      <c r="G24" s="13">
        <f t="shared" si="1"/>
        <v>3.2142857142857029E-2</v>
      </c>
      <c r="H24" s="6"/>
    </row>
    <row r="25" spans="1:8" ht="15" customHeight="1" thickBot="1" x14ac:dyDescent="0.45">
      <c r="A25" s="15">
        <v>10</v>
      </c>
      <c r="B25" s="9" t="s">
        <v>50</v>
      </c>
      <c r="C25" s="9" t="s">
        <v>8</v>
      </c>
      <c r="D25" s="10" t="s">
        <v>50</v>
      </c>
      <c r="E25" s="22">
        <v>5.75</v>
      </c>
      <c r="F25" s="12">
        <v>3.8239999999999998</v>
      </c>
      <c r="G25" s="13">
        <f t="shared" si="1"/>
        <v>-0.33495652173913049</v>
      </c>
      <c r="H25" s="6"/>
    </row>
    <row r="26" spans="1:8" ht="15.45" customHeight="1" thickBot="1" x14ac:dyDescent="0.45">
      <c r="A26" s="15"/>
      <c r="B26" s="7"/>
      <c r="C26" s="16"/>
      <c r="D26" s="17"/>
      <c r="E26" s="18"/>
      <c r="F26" s="23" t="s">
        <v>28</v>
      </c>
      <c r="G26" s="24">
        <v>-2.2989763315386536E-2</v>
      </c>
      <c r="H26" s="46" t="s">
        <v>29</v>
      </c>
    </row>
    <row r="27" spans="1:8" x14ac:dyDescent="0.4">
      <c r="A27" s="15"/>
      <c r="B27" s="25"/>
      <c r="C27" s="9"/>
      <c r="D27" s="26"/>
      <c r="F27" s="6"/>
      <c r="H27" s="6"/>
    </row>
    <row r="28" spans="1:8" x14ac:dyDescent="0.4">
      <c r="B28" s="14"/>
      <c r="F28" s="6"/>
      <c r="H28" s="6"/>
    </row>
    <row r="29" spans="1:8" ht="15" customHeight="1" thickBot="1" x14ac:dyDescent="0.45">
      <c r="A29" s="21" t="s">
        <v>30</v>
      </c>
      <c r="B29" s="1" t="s">
        <v>0</v>
      </c>
      <c r="C29" s="2" t="s">
        <v>1</v>
      </c>
      <c r="D29" s="2" t="s">
        <v>2</v>
      </c>
      <c r="E29" s="3" t="s">
        <v>3</v>
      </c>
      <c r="F29" s="4" t="s">
        <v>4</v>
      </c>
      <c r="G29" s="5" t="s">
        <v>5</v>
      </c>
      <c r="H29" s="45" t="s">
        <v>51</v>
      </c>
    </row>
    <row r="30" spans="1:8" ht="15" customHeight="1" thickBot="1" x14ac:dyDescent="0.45">
      <c r="A30" s="8">
        <v>1</v>
      </c>
      <c r="B30" s="7" t="s">
        <v>52</v>
      </c>
      <c r="C30" s="7" t="s">
        <v>53</v>
      </c>
      <c r="D30" s="51" t="s">
        <v>54</v>
      </c>
      <c r="E30" s="18">
        <v>1.0349999999999999</v>
      </c>
      <c r="F30" s="12">
        <v>0.93</v>
      </c>
      <c r="G30" s="13">
        <f t="shared" ref="G30:G39" si="2">(F30/E30-1)</f>
        <v>-0.10144927536231874</v>
      </c>
    </row>
    <row r="31" spans="1:8" ht="15" customHeight="1" thickBot="1" x14ac:dyDescent="0.45">
      <c r="A31" s="15">
        <v>2</v>
      </c>
      <c r="B31" s="7" t="s">
        <v>55</v>
      </c>
      <c r="C31" s="7" t="s">
        <v>53</v>
      </c>
      <c r="D31" s="51" t="s">
        <v>56</v>
      </c>
      <c r="E31" s="18">
        <v>15.8</v>
      </c>
      <c r="F31" s="12">
        <v>15.7</v>
      </c>
      <c r="G31" s="13">
        <f t="shared" si="2"/>
        <v>-6.3291139240507777E-3</v>
      </c>
    </row>
    <row r="32" spans="1:8" ht="15" customHeight="1" thickBot="1" x14ac:dyDescent="0.45">
      <c r="A32" s="8">
        <v>3</v>
      </c>
      <c r="B32" s="7" t="s">
        <v>57</v>
      </c>
      <c r="C32" s="7" t="s">
        <v>53</v>
      </c>
      <c r="D32" s="51" t="s">
        <v>58</v>
      </c>
      <c r="E32" s="18">
        <v>24.8</v>
      </c>
      <c r="F32" s="12">
        <v>23.4</v>
      </c>
      <c r="G32" s="13">
        <f t="shared" si="2"/>
        <v>-5.6451612903225867E-2</v>
      </c>
    </row>
    <row r="33" spans="1:8" ht="15" customHeight="1" thickBot="1" x14ac:dyDescent="0.45">
      <c r="A33" s="15">
        <v>4</v>
      </c>
      <c r="B33" s="7" t="s">
        <v>59</v>
      </c>
      <c r="C33" s="7" t="s">
        <v>60</v>
      </c>
      <c r="D33" s="51" t="s">
        <v>61</v>
      </c>
      <c r="E33" s="18">
        <v>3.92</v>
      </c>
      <c r="F33" s="12">
        <v>3.73</v>
      </c>
      <c r="G33" s="13">
        <f t="shared" si="2"/>
        <v>-4.8469387755102011E-2</v>
      </c>
    </row>
    <row r="34" spans="1:8" ht="15" customHeight="1" thickBot="1" x14ac:dyDescent="0.45">
      <c r="A34" s="8">
        <v>5</v>
      </c>
      <c r="B34" s="7" t="s">
        <v>62</v>
      </c>
      <c r="C34" s="7" t="s">
        <v>53</v>
      </c>
      <c r="D34" s="51" t="s">
        <v>63</v>
      </c>
      <c r="E34" s="18">
        <v>0.16200000000000001</v>
      </c>
      <c r="F34" s="12">
        <v>0.158</v>
      </c>
      <c r="G34" s="13">
        <f t="shared" si="2"/>
        <v>-2.4691358024691357E-2</v>
      </c>
    </row>
    <row r="35" spans="1:8" ht="15" customHeight="1" thickBot="1" x14ac:dyDescent="0.45">
      <c r="A35" s="15">
        <v>6</v>
      </c>
      <c r="B35" s="7" t="s">
        <v>64</v>
      </c>
      <c r="C35" s="7" t="s">
        <v>53</v>
      </c>
      <c r="D35" s="51" t="s">
        <v>65</v>
      </c>
      <c r="E35" s="18">
        <v>2.04</v>
      </c>
      <c r="F35" s="12">
        <v>2</v>
      </c>
      <c r="G35" s="13">
        <f t="shared" si="2"/>
        <v>-1.9607843137254943E-2</v>
      </c>
    </row>
    <row r="36" spans="1:8" ht="15" customHeight="1" thickBot="1" x14ac:dyDescent="0.45">
      <c r="A36" s="8">
        <v>7</v>
      </c>
      <c r="B36" s="7" t="s">
        <v>66</v>
      </c>
      <c r="C36" s="7" t="s">
        <v>53</v>
      </c>
      <c r="D36" s="51" t="s">
        <v>67</v>
      </c>
      <c r="E36" s="18">
        <v>28</v>
      </c>
      <c r="F36" s="12">
        <v>27</v>
      </c>
      <c r="G36" s="13">
        <f t="shared" si="2"/>
        <v>-3.5714285714285698E-2</v>
      </c>
    </row>
    <row r="37" spans="1:8" ht="15" customHeight="1" thickBot="1" x14ac:dyDescent="0.45">
      <c r="A37" s="15">
        <v>8</v>
      </c>
      <c r="B37" s="7" t="s">
        <v>68</v>
      </c>
      <c r="C37" s="7" t="s">
        <v>60</v>
      </c>
      <c r="D37" s="51" t="s">
        <v>69</v>
      </c>
      <c r="E37" s="18">
        <v>22.85</v>
      </c>
      <c r="F37" s="12">
        <v>22.5</v>
      </c>
      <c r="G37" s="13">
        <f t="shared" si="2"/>
        <v>-1.5317286652078876E-2</v>
      </c>
    </row>
    <row r="38" spans="1:8" ht="15" customHeight="1" thickBot="1" x14ac:dyDescent="0.45">
      <c r="A38" s="8">
        <v>9</v>
      </c>
      <c r="B38" s="7" t="s">
        <v>70</v>
      </c>
      <c r="C38" s="7" t="s">
        <v>53</v>
      </c>
      <c r="D38" s="51" t="s">
        <v>71</v>
      </c>
      <c r="E38" s="18">
        <v>0.26500000000000001</v>
      </c>
      <c r="F38" s="12">
        <v>0.23400000000000001</v>
      </c>
      <c r="G38" s="13">
        <f t="shared" si="2"/>
        <v>-0.11698113207547167</v>
      </c>
    </row>
    <row r="39" spans="1:8" ht="15" customHeight="1" thickBot="1" x14ac:dyDescent="0.45">
      <c r="A39" s="15">
        <v>10</v>
      </c>
      <c r="B39" s="7" t="s">
        <v>72</v>
      </c>
      <c r="C39" s="7" t="s">
        <v>53</v>
      </c>
      <c r="D39" s="51" t="s">
        <v>73</v>
      </c>
      <c r="E39" s="18">
        <v>24.65</v>
      </c>
      <c r="F39" s="12">
        <v>22.4</v>
      </c>
      <c r="G39" s="13">
        <f t="shared" si="2"/>
        <v>-9.1277890466531453E-2</v>
      </c>
    </row>
    <row r="40" spans="1:8" ht="15.45" customHeight="1" thickBot="1" x14ac:dyDescent="0.45">
      <c r="A40" s="15"/>
      <c r="B40" s="27"/>
      <c r="C40" s="16"/>
      <c r="D40" s="17"/>
      <c r="F40" s="28" t="s">
        <v>28</v>
      </c>
      <c r="G40" s="29">
        <v>-5.1628918601501136E-2</v>
      </c>
      <c r="H40" s="46" t="s">
        <v>29</v>
      </c>
    </row>
    <row r="41" spans="1:8" ht="15.45" customHeight="1" x14ac:dyDescent="0.4">
      <c r="B41" s="27"/>
      <c r="C41" s="30"/>
      <c r="D41" s="31"/>
      <c r="F41" s="32"/>
      <c r="G41" s="33"/>
    </row>
    <row r="42" spans="1:8" ht="15" customHeight="1" thickBot="1" x14ac:dyDescent="0.45">
      <c r="A42" s="21" t="s">
        <v>30</v>
      </c>
      <c r="B42" s="1" t="s">
        <v>0</v>
      </c>
      <c r="C42" s="2" t="s">
        <v>1</v>
      </c>
      <c r="D42" s="2" t="s">
        <v>2</v>
      </c>
      <c r="E42" s="3" t="s">
        <v>3</v>
      </c>
      <c r="F42" s="4" t="s">
        <v>4</v>
      </c>
      <c r="G42" s="5" t="s">
        <v>5</v>
      </c>
      <c r="H42" s="45" t="s">
        <v>74</v>
      </c>
    </row>
    <row r="43" spans="1:8" ht="15" customHeight="1" thickBot="1" x14ac:dyDescent="0.45">
      <c r="A43" s="8">
        <v>1</v>
      </c>
      <c r="B43" s="9"/>
      <c r="C43" s="9"/>
      <c r="D43" s="10"/>
      <c r="E43" s="11"/>
      <c r="F43" s="12"/>
      <c r="G43" s="13" t="e">
        <v>#DIV/0!</v>
      </c>
    </row>
    <row r="44" spans="1:8" ht="15" customHeight="1" thickBot="1" x14ac:dyDescent="0.45">
      <c r="A44" s="15">
        <v>2</v>
      </c>
      <c r="B44" s="9"/>
      <c r="C44" s="9"/>
      <c r="D44" s="10"/>
      <c r="E44" s="11"/>
      <c r="F44" s="12"/>
      <c r="G44" s="13" t="e">
        <v>#DIV/0!</v>
      </c>
    </row>
    <row r="45" spans="1:8" ht="15" customHeight="1" thickBot="1" x14ac:dyDescent="0.45">
      <c r="A45" s="8">
        <v>3</v>
      </c>
      <c r="B45" s="9"/>
      <c r="C45" s="9"/>
      <c r="D45" s="10"/>
      <c r="E45" s="11"/>
      <c r="F45" s="12"/>
      <c r="G45" s="13" t="e">
        <v>#DIV/0!</v>
      </c>
    </row>
    <row r="46" spans="1:8" ht="15" customHeight="1" thickBot="1" x14ac:dyDescent="0.45">
      <c r="A46" s="15">
        <v>4</v>
      </c>
      <c r="B46" s="9"/>
      <c r="C46" s="9"/>
      <c r="D46" s="10"/>
      <c r="E46" s="11"/>
      <c r="F46" s="12"/>
      <c r="G46" s="13" t="e">
        <v>#DIV/0!</v>
      </c>
    </row>
    <row r="47" spans="1:8" ht="15" customHeight="1" thickBot="1" x14ac:dyDescent="0.45">
      <c r="A47" s="8">
        <v>5</v>
      </c>
      <c r="B47" s="9"/>
      <c r="C47" s="9"/>
      <c r="D47" s="10"/>
      <c r="E47" s="11"/>
      <c r="F47" s="12"/>
      <c r="G47" s="13" t="e">
        <v>#DIV/0!</v>
      </c>
    </row>
    <row r="48" spans="1:8" ht="15" customHeight="1" thickBot="1" x14ac:dyDescent="0.45">
      <c r="A48" s="15">
        <v>6</v>
      </c>
      <c r="B48" s="9"/>
      <c r="C48" s="9"/>
      <c r="D48" s="10"/>
      <c r="E48" s="11"/>
      <c r="F48" s="12"/>
      <c r="G48" s="13" t="e">
        <v>#DIV/0!</v>
      </c>
    </row>
    <row r="49" spans="1:8" ht="15" customHeight="1" thickBot="1" x14ac:dyDescent="0.45">
      <c r="A49" s="8">
        <v>7</v>
      </c>
      <c r="B49" s="9"/>
      <c r="C49" s="9"/>
      <c r="D49" s="10"/>
      <c r="E49" s="11"/>
      <c r="F49" s="12"/>
      <c r="G49" s="13" t="e">
        <v>#DIV/0!</v>
      </c>
    </row>
    <row r="50" spans="1:8" ht="15" customHeight="1" thickBot="1" x14ac:dyDescent="0.45">
      <c r="A50" s="15">
        <v>8</v>
      </c>
      <c r="B50" s="9"/>
      <c r="C50" s="9"/>
      <c r="D50" s="10"/>
      <c r="E50" s="11"/>
      <c r="F50" s="12"/>
      <c r="G50" s="13" t="e">
        <v>#DIV/0!</v>
      </c>
    </row>
    <row r="51" spans="1:8" ht="15" customHeight="1" thickBot="1" x14ac:dyDescent="0.45">
      <c r="A51" s="8">
        <v>9</v>
      </c>
      <c r="B51" s="9"/>
      <c r="C51" s="9"/>
      <c r="D51" s="10"/>
      <c r="E51" s="11"/>
      <c r="F51" s="12"/>
      <c r="G51" s="13" t="e">
        <v>#DIV/0!</v>
      </c>
    </row>
    <row r="52" spans="1:8" ht="15" customHeight="1" thickBot="1" x14ac:dyDescent="0.45">
      <c r="A52" s="15">
        <v>10</v>
      </c>
      <c r="B52" s="9"/>
      <c r="C52" s="9"/>
      <c r="D52" s="10"/>
      <c r="E52" s="11"/>
      <c r="F52" s="12"/>
      <c r="G52" s="13" t="e">
        <v>#DIV/0!</v>
      </c>
    </row>
    <row r="53" spans="1:8" ht="15.45" customHeight="1" thickBot="1" x14ac:dyDescent="0.45">
      <c r="A53" s="15"/>
      <c r="B53" s="7"/>
      <c r="C53" s="16"/>
      <c r="D53" s="17"/>
      <c r="F53" s="28" t="s">
        <v>28</v>
      </c>
      <c r="G53" s="34" t="e">
        <v>#DIV/0!</v>
      </c>
      <c r="H53" s="46" t="s">
        <v>29</v>
      </c>
    </row>
    <row r="54" spans="1:8" ht="15.45" customHeight="1" x14ac:dyDescent="0.4">
      <c r="B54" s="7"/>
      <c r="C54" s="30"/>
      <c r="D54" s="31"/>
      <c r="F54" s="32"/>
      <c r="G54" s="35"/>
      <c r="H54" s="6"/>
    </row>
    <row r="55" spans="1:8" ht="15" customHeight="1" thickBot="1" x14ac:dyDescent="0.45">
      <c r="A55" s="21" t="s">
        <v>30</v>
      </c>
      <c r="B55" s="1" t="s">
        <v>0</v>
      </c>
      <c r="C55" s="2" t="s">
        <v>1</v>
      </c>
      <c r="D55" s="2" t="s">
        <v>2</v>
      </c>
      <c r="E55" s="3" t="s">
        <v>3</v>
      </c>
      <c r="F55" s="4" t="s">
        <v>4</v>
      </c>
      <c r="G55" s="5" t="s">
        <v>5</v>
      </c>
      <c r="H55" s="45" t="s">
        <v>79</v>
      </c>
    </row>
    <row r="56" spans="1:8" ht="15" customHeight="1" thickBot="1" x14ac:dyDescent="0.45">
      <c r="A56" s="8">
        <v>1</v>
      </c>
      <c r="B56" s="36"/>
      <c r="C56" s="30"/>
      <c r="D56" s="36"/>
      <c r="E56" s="18"/>
      <c r="F56" s="12"/>
      <c r="G56" s="37" t="e">
        <v>#DIV/0!</v>
      </c>
      <c r="H56" s="6"/>
    </row>
    <row r="57" spans="1:8" ht="15" customHeight="1" thickBot="1" x14ac:dyDescent="0.45">
      <c r="A57" s="15">
        <v>2</v>
      </c>
      <c r="B57" s="36"/>
      <c r="C57" s="30"/>
      <c r="D57" s="36"/>
      <c r="E57" s="18"/>
      <c r="F57" s="12"/>
      <c r="G57" s="37" t="e">
        <v>#DIV/0!</v>
      </c>
      <c r="H57" s="6"/>
    </row>
    <row r="58" spans="1:8" ht="15" customHeight="1" thickBot="1" x14ac:dyDescent="0.45">
      <c r="A58" s="8">
        <v>3</v>
      </c>
      <c r="B58" s="36"/>
      <c r="C58" s="30"/>
      <c r="D58" s="36"/>
      <c r="E58" s="18"/>
      <c r="F58" s="12"/>
      <c r="G58" s="37" t="e">
        <v>#DIV/0!</v>
      </c>
      <c r="H58" s="6"/>
    </row>
    <row r="59" spans="1:8" ht="15" customHeight="1" thickBot="1" x14ac:dyDescent="0.45">
      <c r="A59" s="15">
        <v>4</v>
      </c>
      <c r="B59" s="36"/>
      <c r="C59" s="30"/>
      <c r="D59" s="36"/>
      <c r="E59" s="18"/>
      <c r="F59" s="12"/>
      <c r="G59" s="37" t="e">
        <v>#DIV/0!</v>
      </c>
      <c r="H59" s="6"/>
    </row>
    <row r="60" spans="1:8" ht="15" customHeight="1" thickBot="1" x14ac:dyDescent="0.45">
      <c r="A60" s="8">
        <v>5</v>
      </c>
      <c r="B60" s="36"/>
      <c r="C60" s="30"/>
      <c r="D60" s="36"/>
      <c r="E60" s="18"/>
      <c r="F60" s="12"/>
      <c r="G60" s="37" t="e">
        <v>#DIV/0!</v>
      </c>
      <c r="H60" s="6"/>
    </row>
    <row r="61" spans="1:8" ht="15" customHeight="1" thickBot="1" x14ac:dyDescent="0.45">
      <c r="A61" s="15">
        <v>6</v>
      </c>
      <c r="B61" s="36"/>
      <c r="C61" s="30"/>
      <c r="D61" s="36"/>
      <c r="E61" s="18"/>
      <c r="F61" s="12"/>
      <c r="G61" s="37" t="e">
        <v>#DIV/0!</v>
      </c>
      <c r="H61" s="6"/>
    </row>
    <row r="62" spans="1:8" ht="15" customHeight="1" thickBot="1" x14ac:dyDescent="0.45">
      <c r="A62" s="8">
        <v>7</v>
      </c>
      <c r="B62" s="36"/>
      <c r="C62" s="30"/>
      <c r="D62" s="36"/>
      <c r="E62" s="18"/>
      <c r="F62" s="12"/>
      <c r="G62" s="37" t="e">
        <v>#DIV/0!</v>
      </c>
      <c r="H62" s="6"/>
    </row>
    <row r="63" spans="1:8" ht="15" customHeight="1" thickBot="1" x14ac:dyDescent="0.45">
      <c r="A63" s="15">
        <v>8</v>
      </c>
      <c r="B63" s="36"/>
      <c r="C63" s="30"/>
      <c r="D63" s="36"/>
      <c r="E63" s="18"/>
      <c r="F63" s="12"/>
      <c r="G63" s="37" t="e">
        <v>#DIV/0!</v>
      </c>
      <c r="H63" s="6"/>
    </row>
    <row r="64" spans="1:8" ht="15" customHeight="1" thickBot="1" x14ac:dyDescent="0.45">
      <c r="A64" s="8">
        <v>9</v>
      </c>
      <c r="B64" s="36"/>
      <c r="C64" s="30"/>
      <c r="D64" s="36"/>
      <c r="E64" s="18"/>
      <c r="F64" s="12"/>
      <c r="G64" s="37" t="e">
        <v>#DIV/0!</v>
      </c>
      <c r="H64" s="6"/>
    </row>
    <row r="65" spans="1:8" ht="15" customHeight="1" thickBot="1" x14ac:dyDescent="0.45">
      <c r="A65" s="15">
        <v>10</v>
      </c>
      <c r="B65" s="36"/>
      <c r="C65" s="30"/>
      <c r="D65" s="36"/>
      <c r="E65" s="18"/>
      <c r="F65" s="12"/>
      <c r="G65" s="37" t="e">
        <v>#DIV/0!</v>
      </c>
      <c r="H65" s="6"/>
    </row>
    <row r="66" spans="1:8" ht="15.45" customHeight="1" x14ac:dyDescent="0.4">
      <c r="A66" s="15"/>
      <c r="B66" s="7"/>
      <c r="C66" s="16"/>
      <c r="D66" s="17"/>
      <c r="F66" s="38" t="s">
        <v>28</v>
      </c>
      <c r="G66" s="34" t="e">
        <v>#DIV/0!</v>
      </c>
      <c r="H66" s="48" t="s">
        <v>29</v>
      </c>
    </row>
    <row r="67" spans="1:8" ht="15.45" customHeight="1" x14ac:dyDescent="0.4">
      <c r="B67" s="7"/>
      <c r="C67" s="30"/>
      <c r="D67" s="31"/>
      <c r="F67" s="39"/>
      <c r="G67" s="35"/>
      <c r="H67" s="6"/>
    </row>
    <row r="68" spans="1:8" ht="15" customHeight="1" thickBot="1" x14ac:dyDescent="0.45">
      <c r="A68" s="21" t="s">
        <v>30</v>
      </c>
      <c r="B68" s="1" t="s">
        <v>0</v>
      </c>
      <c r="C68" s="2" t="s">
        <v>1</v>
      </c>
      <c r="D68" s="2" t="s">
        <v>2</v>
      </c>
      <c r="E68" s="3" t="s">
        <v>3</v>
      </c>
      <c r="F68" s="4" t="s">
        <v>4</v>
      </c>
      <c r="G68" s="5" t="s">
        <v>5</v>
      </c>
      <c r="H68" s="45" t="s">
        <v>80</v>
      </c>
    </row>
    <row r="69" spans="1:8" ht="15" customHeight="1" thickBot="1" x14ac:dyDescent="0.45">
      <c r="A69" s="8">
        <v>1</v>
      </c>
      <c r="B69" s="36" t="s">
        <v>90</v>
      </c>
      <c r="C69" s="30" t="s">
        <v>8</v>
      </c>
      <c r="D69" s="36" t="s">
        <v>91</v>
      </c>
      <c r="E69" s="18">
        <v>57.8</v>
      </c>
      <c r="F69" s="12">
        <v>53.8</v>
      </c>
      <c r="G69" s="37">
        <f t="shared" ref="G69:G78" si="3">(F69/E69-1)</f>
        <v>-6.9204152249134898E-2</v>
      </c>
      <c r="H69" s="6"/>
    </row>
    <row r="70" spans="1:8" ht="15" customHeight="1" thickBot="1" x14ac:dyDescent="0.45">
      <c r="A70" s="15">
        <v>2</v>
      </c>
      <c r="B70" s="36" t="s">
        <v>94</v>
      </c>
      <c r="C70" s="30" t="s">
        <v>8</v>
      </c>
      <c r="D70" s="36" t="s">
        <v>95</v>
      </c>
      <c r="E70" s="18">
        <v>121.35</v>
      </c>
      <c r="F70" s="12">
        <v>123.95</v>
      </c>
      <c r="G70" s="37">
        <f t="shared" si="3"/>
        <v>2.1425628347754522E-2</v>
      </c>
      <c r="H70" s="6"/>
    </row>
    <row r="71" spans="1:8" ht="15" customHeight="1" thickBot="1" x14ac:dyDescent="0.45">
      <c r="A71" s="8">
        <v>3</v>
      </c>
      <c r="B71" s="36" t="s">
        <v>14</v>
      </c>
      <c r="C71" s="30" t="s">
        <v>8</v>
      </c>
      <c r="D71" s="36" t="s">
        <v>15</v>
      </c>
      <c r="E71" s="18">
        <v>31.4</v>
      </c>
      <c r="F71" s="12">
        <v>31.7</v>
      </c>
      <c r="G71" s="37">
        <f t="shared" si="3"/>
        <v>9.5541401273886439E-3</v>
      </c>
      <c r="H71" s="6"/>
    </row>
    <row r="72" spans="1:8" ht="15" customHeight="1" thickBot="1" x14ac:dyDescent="0.45">
      <c r="A72" s="15">
        <v>4</v>
      </c>
      <c r="B72" s="36" t="s">
        <v>158</v>
      </c>
      <c r="C72" s="30" t="s">
        <v>8</v>
      </c>
      <c r="D72" s="36" t="s">
        <v>159</v>
      </c>
      <c r="E72" s="18">
        <v>36.619999999999997</v>
      </c>
      <c r="F72" s="12">
        <v>35.299999999999997</v>
      </c>
      <c r="G72" s="37">
        <f t="shared" si="3"/>
        <v>-3.6045876570180213E-2</v>
      </c>
      <c r="H72" s="6"/>
    </row>
    <row r="73" spans="1:8" ht="15" customHeight="1" thickBot="1" x14ac:dyDescent="0.45">
      <c r="A73" s="8">
        <v>5</v>
      </c>
      <c r="B73" s="36" t="s">
        <v>20</v>
      </c>
      <c r="C73" s="30" t="s">
        <v>8</v>
      </c>
      <c r="D73" s="36" t="s">
        <v>21</v>
      </c>
      <c r="E73" s="18">
        <v>80.709999999999994</v>
      </c>
      <c r="F73" s="12">
        <v>83.45</v>
      </c>
      <c r="G73" s="37">
        <f t="shared" si="3"/>
        <v>3.3948705240986365E-2</v>
      </c>
      <c r="H73" s="6"/>
    </row>
    <row r="74" spans="1:8" ht="15" customHeight="1" thickBot="1" x14ac:dyDescent="0.45">
      <c r="A74" s="15">
        <v>6</v>
      </c>
      <c r="B74" s="36" t="s">
        <v>160</v>
      </c>
      <c r="C74" s="30" t="s">
        <v>8</v>
      </c>
      <c r="D74" s="36" t="s">
        <v>161</v>
      </c>
      <c r="E74" s="18">
        <v>102.45</v>
      </c>
      <c r="F74" s="12">
        <v>100.85</v>
      </c>
      <c r="G74" s="37">
        <f t="shared" si="3"/>
        <v>-1.5617374328941058E-2</v>
      </c>
      <c r="H74" s="6"/>
    </row>
    <row r="75" spans="1:8" ht="15" customHeight="1" thickBot="1" x14ac:dyDescent="0.45">
      <c r="A75" s="8">
        <v>7</v>
      </c>
      <c r="B75" s="36" t="s">
        <v>86</v>
      </c>
      <c r="C75" s="30" t="s">
        <v>8</v>
      </c>
      <c r="D75" s="36" t="s">
        <v>87</v>
      </c>
      <c r="E75" s="18">
        <v>84</v>
      </c>
      <c r="F75" s="12">
        <v>87.65</v>
      </c>
      <c r="G75" s="37">
        <f t="shared" si="3"/>
        <v>4.345238095238102E-2</v>
      </c>
      <c r="H75" s="6"/>
    </row>
    <row r="76" spans="1:8" ht="15" customHeight="1" thickBot="1" x14ac:dyDescent="0.45">
      <c r="A76" s="15">
        <v>8</v>
      </c>
      <c r="B76" s="36" t="s">
        <v>162</v>
      </c>
      <c r="C76" s="30" t="s">
        <v>8</v>
      </c>
      <c r="D76" s="36" t="s">
        <v>163</v>
      </c>
      <c r="E76" s="18">
        <v>18.989999999999998</v>
      </c>
      <c r="F76" s="12">
        <v>18.600000000000001</v>
      </c>
      <c r="G76" s="37">
        <f t="shared" si="3"/>
        <v>-2.0537124802527451E-2</v>
      </c>
      <c r="H76" s="6"/>
    </row>
    <row r="77" spans="1:8" ht="15" customHeight="1" thickBot="1" x14ac:dyDescent="0.45">
      <c r="A77" s="8">
        <v>9</v>
      </c>
      <c r="B77" s="36" t="s">
        <v>75</v>
      </c>
      <c r="C77" s="30" t="s">
        <v>8</v>
      </c>
      <c r="D77" s="36" t="s">
        <v>76</v>
      </c>
      <c r="E77" s="18">
        <v>15.39</v>
      </c>
      <c r="F77" s="12">
        <v>14.92</v>
      </c>
      <c r="G77" s="37">
        <f t="shared" si="3"/>
        <v>-3.0539311241065681E-2</v>
      </c>
      <c r="H77" s="6"/>
    </row>
    <row r="78" spans="1:8" ht="15" customHeight="1" thickBot="1" x14ac:dyDescent="0.45">
      <c r="A78" s="15">
        <v>10</v>
      </c>
      <c r="B78" s="36" t="s">
        <v>164</v>
      </c>
      <c r="C78" s="30" t="s">
        <v>8</v>
      </c>
      <c r="D78" s="36" t="s">
        <v>165</v>
      </c>
      <c r="E78" s="18">
        <v>18.984999999999999</v>
      </c>
      <c r="F78" s="12">
        <v>18.11</v>
      </c>
      <c r="G78" s="37">
        <f t="shared" si="3"/>
        <v>-4.6089017645509656E-2</v>
      </c>
      <c r="H78" s="6"/>
    </row>
    <row r="79" spans="1:8" ht="15.45" customHeight="1" x14ac:dyDescent="0.4">
      <c r="B79" s="14"/>
      <c r="F79" s="38" t="s">
        <v>28</v>
      </c>
      <c r="G79" s="34">
        <v>-1.0965200216884841E-2</v>
      </c>
      <c r="H79" s="48" t="s">
        <v>29</v>
      </c>
    </row>
    <row r="80" spans="1:8" ht="15.45" customHeight="1" x14ac:dyDescent="0.4">
      <c r="B80" s="14"/>
      <c r="F80" s="32"/>
      <c r="G80" s="40"/>
      <c r="H80" s="6"/>
    </row>
    <row r="81" spans="1:8" ht="15" customHeight="1" thickBot="1" x14ac:dyDescent="0.45">
      <c r="A81" s="21" t="s">
        <v>30</v>
      </c>
      <c r="B81" s="41" t="s">
        <v>81</v>
      </c>
      <c r="C81" t="s">
        <v>82</v>
      </c>
      <c r="D81" s="2" t="s">
        <v>2</v>
      </c>
      <c r="E81" s="3" t="s">
        <v>3</v>
      </c>
      <c r="F81" s="4" t="s">
        <v>4</v>
      </c>
      <c r="G81" s="5" t="s">
        <v>5</v>
      </c>
      <c r="H81" s="49">
        <v>6</v>
      </c>
    </row>
    <row r="82" spans="1:8" ht="15" customHeight="1" thickBot="1" x14ac:dyDescent="0.45">
      <c r="A82" s="8">
        <v>1</v>
      </c>
      <c r="B82" s="36"/>
      <c r="C82" s="30"/>
      <c r="D82" s="36"/>
      <c r="E82" s="18"/>
      <c r="F82" s="12"/>
      <c r="G82" s="37" t="e">
        <v>#VALUE!</v>
      </c>
    </row>
    <row r="83" spans="1:8" ht="15" customHeight="1" thickBot="1" x14ac:dyDescent="0.45">
      <c r="A83" s="15">
        <v>2</v>
      </c>
      <c r="B83" s="36"/>
      <c r="C83" s="30"/>
      <c r="D83" s="36"/>
      <c r="E83" s="18"/>
      <c r="F83" s="12"/>
      <c r="G83" s="37" t="e">
        <v>#VALUE!</v>
      </c>
    </row>
    <row r="84" spans="1:8" ht="15" customHeight="1" thickBot="1" x14ac:dyDescent="0.45">
      <c r="A84" s="8">
        <v>3</v>
      </c>
      <c r="B84" s="36"/>
      <c r="C84" s="30"/>
      <c r="D84" s="36"/>
      <c r="E84" s="18"/>
      <c r="F84" s="12"/>
      <c r="G84" s="37" t="e">
        <v>#VALUE!</v>
      </c>
    </row>
    <row r="85" spans="1:8" ht="15" customHeight="1" thickBot="1" x14ac:dyDescent="0.45">
      <c r="A85" s="15">
        <v>4</v>
      </c>
      <c r="B85" s="36"/>
      <c r="C85" s="42"/>
      <c r="D85" s="36"/>
      <c r="E85" s="18"/>
      <c r="F85" s="12"/>
      <c r="G85" s="37" t="e">
        <v>#VALUE!</v>
      </c>
    </row>
    <row r="86" spans="1:8" ht="15" customHeight="1" thickBot="1" x14ac:dyDescent="0.45">
      <c r="A86" s="8">
        <v>5</v>
      </c>
      <c r="B86" s="36"/>
      <c r="C86" s="42"/>
      <c r="D86" s="36"/>
      <c r="E86" s="18"/>
      <c r="F86" s="12"/>
      <c r="G86" s="37" t="e">
        <v>#VALUE!</v>
      </c>
    </row>
    <row r="87" spans="1:8" ht="15" customHeight="1" thickBot="1" x14ac:dyDescent="0.45">
      <c r="A87" s="15">
        <v>6</v>
      </c>
      <c r="B87" s="36"/>
      <c r="C87" s="42"/>
      <c r="D87" s="36"/>
      <c r="E87" s="18"/>
      <c r="F87" s="12"/>
      <c r="G87" s="37" t="e">
        <v>#VALUE!</v>
      </c>
    </row>
    <row r="88" spans="1:8" ht="15" customHeight="1" thickBot="1" x14ac:dyDescent="0.45">
      <c r="A88" s="8">
        <v>7</v>
      </c>
      <c r="B88" s="36"/>
      <c r="C88" s="30"/>
      <c r="D88" s="36"/>
      <c r="E88" s="18"/>
      <c r="F88" s="12"/>
      <c r="G88" s="37" t="e">
        <v>#VALUE!</v>
      </c>
    </row>
    <row r="89" spans="1:8" ht="15" customHeight="1" thickBot="1" x14ac:dyDescent="0.45">
      <c r="A89" s="15">
        <v>8</v>
      </c>
      <c r="B89" s="36"/>
      <c r="C89" s="42"/>
      <c r="D89" s="36"/>
      <c r="E89" s="18"/>
      <c r="F89" s="12"/>
      <c r="G89" s="37" t="e">
        <v>#VALUE!</v>
      </c>
    </row>
    <row r="90" spans="1:8" ht="15" customHeight="1" thickBot="1" x14ac:dyDescent="0.45">
      <c r="A90" s="8">
        <v>9</v>
      </c>
      <c r="B90" s="36"/>
      <c r="C90" s="30"/>
      <c r="D90" s="36"/>
      <c r="E90" s="18"/>
      <c r="F90" s="12"/>
      <c r="G90" s="37" t="e">
        <v>#VALUE!</v>
      </c>
    </row>
    <row r="91" spans="1:8" ht="15" customHeight="1" thickBot="1" x14ac:dyDescent="0.45">
      <c r="A91" s="15">
        <v>10</v>
      </c>
      <c r="B91" s="36"/>
      <c r="C91" s="30"/>
      <c r="D91" s="36"/>
      <c r="E91" s="18"/>
      <c r="F91" s="12"/>
      <c r="G91" s="37" t="e">
        <v>#VALUE!</v>
      </c>
    </row>
    <row r="92" spans="1:8" ht="15.45" customHeight="1" x14ac:dyDescent="0.4">
      <c r="A92" s="15"/>
      <c r="B92" s="41"/>
      <c r="C92" s="30"/>
      <c r="D92" s="31"/>
      <c r="F92" s="38" t="s">
        <v>28</v>
      </c>
      <c r="G92" s="34" t="e">
        <v>#VALUE!</v>
      </c>
    </row>
    <row r="93" spans="1:8" x14ac:dyDescent="0.4">
      <c r="B93" s="14"/>
      <c r="F93" s="6"/>
      <c r="H93" s="48" t="s">
        <v>29</v>
      </c>
    </row>
    <row r="94" spans="1:8" x14ac:dyDescent="0.4">
      <c r="B94" s="14"/>
      <c r="F94" s="6"/>
      <c r="H94" s="48"/>
    </row>
    <row r="95" spans="1:8" ht="15" customHeight="1" thickBot="1" x14ac:dyDescent="0.45">
      <c r="A95" s="21" t="s">
        <v>30</v>
      </c>
      <c r="B95" s="41" t="s">
        <v>83</v>
      </c>
      <c r="C95" t="s">
        <v>82</v>
      </c>
      <c r="D95" s="43" t="s">
        <v>84</v>
      </c>
      <c r="E95" s="3" t="s">
        <v>3</v>
      </c>
      <c r="F95" s="4" t="s">
        <v>4</v>
      </c>
      <c r="G95" s="5" t="s">
        <v>5</v>
      </c>
      <c r="H95" s="45" t="s">
        <v>85</v>
      </c>
    </row>
    <row r="96" spans="1:8" ht="15" customHeight="1" thickBot="1" x14ac:dyDescent="0.45">
      <c r="A96" s="8">
        <v>1</v>
      </c>
      <c r="B96" s="36"/>
      <c r="C96" s="30"/>
      <c r="D96" s="36"/>
      <c r="E96" s="18"/>
      <c r="F96" s="12"/>
      <c r="G96" s="37" t="e">
        <v>#VALUE!</v>
      </c>
      <c r="H96" s="6"/>
    </row>
    <row r="97" spans="1:8" ht="15" customHeight="1" thickBot="1" x14ac:dyDescent="0.45">
      <c r="A97" s="15">
        <v>2</v>
      </c>
      <c r="B97" s="36"/>
      <c r="C97" s="30"/>
      <c r="D97" s="36"/>
      <c r="E97" s="18"/>
      <c r="F97" s="12"/>
      <c r="G97" s="37" t="e">
        <v>#VALUE!</v>
      </c>
      <c r="H97" s="6"/>
    </row>
    <row r="98" spans="1:8" ht="15" customHeight="1" thickBot="1" x14ac:dyDescent="0.45">
      <c r="A98" s="8">
        <v>3</v>
      </c>
      <c r="B98" s="36"/>
      <c r="C98" s="30"/>
      <c r="D98" s="36"/>
      <c r="E98" s="18"/>
      <c r="F98" s="12"/>
      <c r="G98" s="37" t="e">
        <v>#VALUE!</v>
      </c>
      <c r="H98" s="6"/>
    </row>
    <row r="99" spans="1:8" ht="15" customHeight="1" thickBot="1" x14ac:dyDescent="0.45">
      <c r="A99" s="15">
        <v>4</v>
      </c>
      <c r="B99" s="36"/>
      <c r="C99" s="30"/>
      <c r="D99" s="36"/>
      <c r="E99" s="18"/>
      <c r="F99" s="12"/>
      <c r="G99" s="37" t="e">
        <v>#VALUE!</v>
      </c>
      <c r="H99" s="6"/>
    </row>
    <row r="100" spans="1:8" ht="15" customHeight="1" thickBot="1" x14ac:dyDescent="0.45">
      <c r="A100" s="8">
        <v>5</v>
      </c>
      <c r="B100" s="36"/>
      <c r="C100" s="30"/>
      <c r="D100" s="36"/>
      <c r="E100" s="18"/>
      <c r="F100" s="12"/>
      <c r="G100" s="37" t="e">
        <v>#VALUE!</v>
      </c>
      <c r="H100" s="6"/>
    </row>
    <row r="101" spans="1:8" ht="15" customHeight="1" thickBot="1" x14ac:dyDescent="0.45">
      <c r="A101" s="15">
        <v>6</v>
      </c>
      <c r="B101" s="36"/>
      <c r="C101" s="30"/>
      <c r="D101" s="36"/>
      <c r="E101" s="18"/>
      <c r="F101" s="12"/>
      <c r="G101" s="37" t="e">
        <v>#VALUE!</v>
      </c>
      <c r="H101" s="6"/>
    </row>
    <row r="102" spans="1:8" ht="15" customHeight="1" thickBot="1" x14ac:dyDescent="0.45">
      <c r="A102" s="8">
        <v>7</v>
      </c>
      <c r="B102" s="36"/>
      <c r="C102" s="30"/>
      <c r="D102" s="36"/>
      <c r="E102" s="18"/>
      <c r="F102" s="12"/>
      <c r="G102" s="37" t="e">
        <v>#VALUE!</v>
      </c>
      <c r="H102" s="6"/>
    </row>
    <row r="103" spans="1:8" ht="15" customHeight="1" thickBot="1" x14ac:dyDescent="0.45">
      <c r="A103" s="15">
        <v>8</v>
      </c>
      <c r="B103" s="36"/>
      <c r="C103" s="30"/>
      <c r="D103" s="36"/>
      <c r="E103" s="18"/>
      <c r="F103" s="12"/>
      <c r="G103" s="37" t="e">
        <v>#VALUE!</v>
      </c>
      <c r="H103" s="6"/>
    </row>
    <row r="104" spans="1:8" ht="15" customHeight="1" thickBot="1" x14ac:dyDescent="0.45">
      <c r="A104" s="8">
        <v>9</v>
      </c>
      <c r="B104" s="36"/>
      <c r="C104" s="30"/>
      <c r="D104" s="36"/>
      <c r="E104" s="18"/>
      <c r="F104" s="12"/>
      <c r="G104" s="37" t="e">
        <v>#VALUE!</v>
      </c>
      <c r="H104" s="6"/>
    </row>
    <row r="105" spans="1:8" ht="15" customHeight="1" thickBot="1" x14ac:dyDescent="0.45">
      <c r="A105" s="15">
        <v>10</v>
      </c>
      <c r="B105" s="36"/>
      <c r="C105" s="30"/>
      <c r="D105" s="36"/>
      <c r="E105" s="18"/>
      <c r="F105" s="12"/>
      <c r="G105" s="37" t="e">
        <v>#VALUE!</v>
      </c>
      <c r="H105" s="6"/>
    </row>
    <row r="106" spans="1:8" ht="15.45" customHeight="1" x14ac:dyDescent="0.4">
      <c r="B106" s="41"/>
      <c r="C106" s="30"/>
      <c r="D106" s="31"/>
      <c r="F106" s="44" t="s">
        <v>28</v>
      </c>
      <c r="G106" s="34" t="e">
        <v>#VALUE!</v>
      </c>
      <c r="H106" s="6"/>
    </row>
    <row r="107" spans="1:8" x14ac:dyDescent="0.4">
      <c r="B107" s="41"/>
      <c r="C107" s="30"/>
      <c r="D107" s="31"/>
      <c r="E107" s="31"/>
      <c r="H107" s="48" t="s">
        <v>29</v>
      </c>
    </row>
    <row r="108" spans="1:8" x14ac:dyDescent="0.4">
      <c r="B108" s="14"/>
      <c r="D108" s="31"/>
    </row>
    <row r="109" spans="1:8" x14ac:dyDescent="0.4">
      <c r="B109" s="14"/>
      <c r="D109" s="50"/>
      <c r="H109" s="48" t="s">
        <v>29</v>
      </c>
    </row>
  </sheetData>
  <conditionalFormatting sqref="B56:B65">
    <cfRule type="expression" dxfId="89" priority="23" stopIfTrue="1">
      <formula>IF(AO56&gt;0,TRUE,FALSE)</formula>
    </cfRule>
  </conditionalFormatting>
  <conditionalFormatting sqref="B69:B78">
    <cfRule type="expression" dxfId="88" priority="21" stopIfTrue="1">
      <formula>IF(AO69&gt;0,TRUE,FALSE)</formula>
    </cfRule>
  </conditionalFormatting>
  <conditionalFormatting sqref="B81">
    <cfRule type="expression" dxfId="87" priority="63" stopIfTrue="1">
      <formula>IF(AN62&gt;0,TRUE,FALSE)</formula>
    </cfRule>
  </conditionalFormatting>
  <conditionalFormatting sqref="B82:B91">
    <cfRule type="expression" dxfId="86" priority="27" stopIfTrue="1">
      <formula>IF(AL82&gt;0,TRUE,FALSE)</formula>
    </cfRule>
  </conditionalFormatting>
  <conditionalFormatting sqref="B92">
    <cfRule type="expression" dxfId="85" priority="59" stopIfTrue="1">
      <formula>IF(AL91&gt;0,TRUE,FALSE)</formula>
    </cfRule>
  </conditionalFormatting>
  <conditionalFormatting sqref="B95">
    <cfRule type="expression" dxfId="84" priority="62" stopIfTrue="1">
      <formula>IF(AN75&gt;0,TRUE,FALSE)</formula>
    </cfRule>
  </conditionalFormatting>
  <conditionalFormatting sqref="B96:B105">
    <cfRule type="expression" dxfId="83" priority="25" stopIfTrue="1">
      <formula>IF(AO96&gt;0,TRUE,FALSE)</formula>
    </cfRule>
  </conditionalFormatting>
  <conditionalFormatting sqref="B106">
    <cfRule type="expression" dxfId="82" priority="60" stopIfTrue="1">
      <formula>IF(AN104&gt;0,TRUE,FALSE)</formula>
    </cfRule>
  </conditionalFormatting>
  <conditionalFormatting sqref="B107">
    <cfRule type="expression" dxfId="81" priority="61" stopIfTrue="1">
      <formula>IF(AN104&gt;0,TRUE,FALSE)</formula>
    </cfRule>
  </conditionalFormatting>
  <conditionalFormatting sqref="D1:D109">
    <cfRule type="expression" dxfId="80" priority="19">
      <formula>AND(ISNUMBER($A1),$D1&lt;&gt;"",COUNTIF($D$1:$D$109,$D1)&gt;1)</formula>
    </cfRule>
  </conditionalFormatting>
  <conditionalFormatting sqref="D56:D65">
    <cfRule type="expression" dxfId="79" priority="22" stopIfTrue="1">
      <formula>IF(AQ56&gt;0,TRUE,FALSE)</formula>
    </cfRule>
  </conditionalFormatting>
  <conditionalFormatting sqref="D69:D78">
    <cfRule type="expression" dxfId="78" priority="20" stopIfTrue="1">
      <formula>IF(AQ69&gt;0,TRUE,FALSE)</formula>
    </cfRule>
  </conditionalFormatting>
  <conditionalFormatting sqref="D82:D91">
    <cfRule type="expression" dxfId="77" priority="26" stopIfTrue="1">
      <formula>IF(AN82&gt;0,TRUE,FALSE)</formula>
    </cfRule>
  </conditionalFormatting>
  <conditionalFormatting sqref="D96:D105">
    <cfRule type="expression" dxfId="76" priority="24" stopIfTrue="1">
      <formula>IF(AQ96&gt;0,TRUE,FALSE)</formula>
    </cfRule>
  </conditionalFormatting>
  <conditionalFormatting sqref="F2:F11 F16:F25">
    <cfRule type="expression" dxfId="75" priority="33" stopIfTrue="1">
      <formula>IF($T200="AAA",TRUE,FALSE)</formula>
    </cfRule>
    <cfRule type="expression" dxfId="74" priority="34" stopIfTrue="1">
      <formula>IF($U200="AAA",TRUE,FALSE)</formula>
    </cfRule>
    <cfRule type="expression" dxfId="73" priority="35" stopIfTrue="1">
      <formula>IF($AN1048554="AAA",TRUE,FALSE)</formula>
    </cfRule>
    <cfRule type="expression" dxfId="72" priority="37" stopIfTrue="1">
      <formula>IF($U200="AAA",TRUE,FALSE)</formula>
    </cfRule>
    <cfRule type="expression" dxfId="71" priority="36" stopIfTrue="1">
      <formula>IF($T200="AAA",TRUE,FALSE)</formula>
    </cfRule>
    <cfRule type="expression" dxfId="70" priority="32" stopIfTrue="1">
      <formula>IF(#REF!="AAA",TRUE,FALSE)</formula>
    </cfRule>
  </conditionalFormatting>
  <conditionalFormatting sqref="F30:F39">
    <cfRule type="expression" dxfId="69" priority="18" stopIfTrue="1">
      <formula>IF($U228="AAA",TRUE,FALSE)</formula>
    </cfRule>
    <cfRule type="expression" dxfId="68" priority="17" stopIfTrue="1">
      <formula>IF($T228="AAA",TRUE,FALSE)</formula>
    </cfRule>
    <cfRule type="expression" dxfId="67" priority="16" stopIfTrue="1">
      <formula>IF($AN6="AAA",TRUE,FALSE)</formula>
    </cfRule>
    <cfRule type="expression" dxfId="66" priority="13" stopIfTrue="1">
      <formula>IF(#REF!="AAA",TRUE,FALSE)</formula>
    </cfRule>
    <cfRule type="expression" dxfId="65" priority="15" stopIfTrue="1">
      <formula>IF($U228="AAA",TRUE,FALSE)</formula>
    </cfRule>
    <cfRule type="expression" dxfId="64" priority="14" stopIfTrue="1">
      <formula>IF($T228="AAA",TRUE,FALSE)</formula>
    </cfRule>
  </conditionalFormatting>
  <conditionalFormatting sqref="F43:F52">
    <cfRule type="expression" dxfId="63" priority="81" stopIfTrue="1">
      <formula>IF($AN17="AAA",TRUE,FALSE)</formula>
    </cfRule>
    <cfRule type="expression" dxfId="62" priority="83" stopIfTrue="1">
      <formula>IF($U242="AAA",TRUE,FALSE)</formula>
    </cfRule>
    <cfRule type="expression" dxfId="61" priority="82" stopIfTrue="1">
      <formula>IF($T242="AAA",TRUE,FALSE)</formula>
    </cfRule>
    <cfRule type="expression" dxfId="60" priority="80" stopIfTrue="1">
      <formula>IF($U242="AAA",TRUE,FALSE)</formula>
    </cfRule>
    <cfRule type="expression" dxfId="59" priority="78" stopIfTrue="1">
      <formula>IF(#REF!="AAA",TRUE,FALSE)</formula>
    </cfRule>
    <cfRule type="expression" dxfId="58" priority="79" stopIfTrue="1">
      <formula>IF($T242="AAA",TRUE,FALSE)</formula>
    </cfRule>
  </conditionalFormatting>
  <conditionalFormatting sqref="F56:F65">
    <cfRule type="expression" dxfId="57" priority="8" stopIfTrue="1">
      <formula>IF($T255="AAA",TRUE,FALSE)</formula>
    </cfRule>
    <cfRule type="expression" dxfId="56" priority="9" stopIfTrue="1">
      <formula>IF($U255="AAA",TRUE,FALSE)</formula>
    </cfRule>
    <cfRule type="expression" dxfId="55" priority="10" stopIfTrue="1">
      <formula>IF($AN30="AAA",TRUE,FALSE)</formula>
    </cfRule>
    <cfRule type="expression" dxfId="54" priority="11" stopIfTrue="1">
      <formula>IF($T255="AAA",TRUE,FALSE)</formula>
    </cfRule>
    <cfRule type="expression" dxfId="53" priority="12" stopIfTrue="1">
      <formula>IF($U255="AAA",TRUE,FALSE)</formula>
    </cfRule>
    <cfRule type="expression" dxfId="52" priority="7" stopIfTrue="1">
      <formula>IF(#REF!="AAA",TRUE,FALSE)</formula>
    </cfRule>
  </conditionalFormatting>
  <conditionalFormatting sqref="F67">
    <cfRule type="expression" dxfId="51" priority="84" stopIfTrue="1">
      <formula>IF(#REF!="AAA",TRUE,FALSE)</formula>
    </cfRule>
    <cfRule type="expression" dxfId="50" priority="85" stopIfTrue="1">
      <formula>IF($AK39="AAA",TRUE,FALSE)</formula>
    </cfRule>
    <cfRule type="expression" dxfId="49" priority="86" stopIfTrue="1">
      <formula>IF($T265="AAA",TRUE,FALSE)</formula>
    </cfRule>
    <cfRule type="expression" dxfId="48" priority="87" stopIfTrue="1">
      <formula>IF($U265="AAA",TRUE,FALSE)</formula>
    </cfRule>
  </conditionalFormatting>
  <conditionalFormatting sqref="F69:F78">
    <cfRule type="expression" dxfId="47" priority="2" stopIfTrue="1">
      <formula>IF($T268="AAA",TRUE,FALSE)</formula>
    </cfRule>
    <cfRule type="expression" dxfId="46" priority="3" stopIfTrue="1">
      <formula>IF($U268="AAA",TRUE,FALSE)</formula>
    </cfRule>
    <cfRule type="expression" dxfId="45" priority="4" stopIfTrue="1">
      <formula>IF($AN43="AAA",TRUE,FALSE)</formula>
    </cfRule>
    <cfRule type="expression" dxfId="44" priority="5" stopIfTrue="1">
      <formula>IF($T268="AAA",TRUE,FALSE)</formula>
    </cfRule>
    <cfRule type="expression" dxfId="43" priority="6" stopIfTrue="1">
      <formula>IF($U268="AAA",TRUE,FALSE)</formula>
    </cfRule>
    <cfRule type="expression" dxfId="42" priority="1" stopIfTrue="1">
      <formula>IF(#REF!="AAA",TRUE,FALSE)</formula>
    </cfRule>
  </conditionalFormatting>
  <conditionalFormatting sqref="F82">
    <cfRule type="expression" dxfId="41" priority="90" stopIfTrue="1">
      <formula>IF($U278="AAA",TRUE,FALSE)</formula>
    </cfRule>
    <cfRule type="expression" dxfId="40" priority="88" stopIfTrue="1">
      <formula>IF($AJ53="AAA",TRUE,FALSE)</formula>
    </cfRule>
    <cfRule type="expression" dxfId="39" priority="89" stopIfTrue="1">
      <formula>IF($T278="AAA",TRUE,FALSE)</formula>
    </cfRule>
  </conditionalFormatting>
  <conditionalFormatting sqref="F82:F91">
    <cfRule type="expression" dxfId="38" priority="67" stopIfTrue="1">
      <formula>IF(#REF!="AAA",TRUE,FALSE)</formula>
    </cfRule>
  </conditionalFormatting>
  <conditionalFormatting sqref="F83:F91">
    <cfRule type="expression" dxfId="37" priority="68" stopIfTrue="1">
      <formula>IF($AN55="AAA",TRUE,FALSE)</formula>
    </cfRule>
    <cfRule type="expression" dxfId="36" priority="69" stopIfTrue="1">
      <formula>IF($T279="AAA",TRUE,FALSE)</formula>
    </cfRule>
    <cfRule type="expression" dxfId="35" priority="70" stopIfTrue="1">
      <formula>IF($U279="AAA",TRUE,FALSE)</formula>
    </cfRule>
  </conditionalFormatting>
  <conditionalFormatting sqref="F96:F97">
    <cfRule type="expression" dxfId="34" priority="77" stopIfTrue="1">
      <formula>IF($U291="AAA",TRUE,FALSE)</formula>
    </cfRule>
    <cfRule type="expression" dxfId="33" priority="76" stopIfTrue="1">
      <formula>IF($T291="AAA",TRUE,FALSE)</formula>
    </cfRule>
    <cfRule type="expression" dxfId="32" priority="75" stopIfTrue="1">
      <formula>IF($AN65="AAA",TRUE,FALSE)</formula>
    </cfRule>
  </conditionalFormatting>
  <conditionalFormatting sqref="F96:F106">
    <cfRule type="expression" dxfId="31" priority="71" stopIfTrue="1">
      <formula>IF(#REF!="AAA",TRUE,FALSE)</formula>
    </cfRule>
  </conditionalFormatting>
  <conditionalFormatting sqref="F98:F106">
    <cfRule type="expression" dxfId="30" priority="72" stopIfTrue="1">
      <formula>IF($AN68="AAA",TRUE,FALSE)</formula>
    </cfRule>
    <cfRule type="expression" dxfId="29" priority="73" stopIfTrue="1">
      <formula>IF($T293="AAA",TRUE,FALSE)</formula>
    </cfRule>
    <cfRule type="expression" dxfId="28" priority="74" stopIfTrue="1">
      <formula>IF($U293="AAA",TRUE,FALSE)</formula>
    </cfRule>
  </conditionalFormatting>
  <conditionalFormatting sqref="G2:G12 G16:G26 G30:G41">
    <cfRule type="cellIs" dxfId="27" priority="66" stopIfTrue="1" operator="greaterThanOrEqual">
      <formula>#REF!</formula>
    </cfRule>
    <cfRule type="cellIs" dxfId="26" priority="65" stopIfTrue="1" operator="lessThan">
      <formula>0</formula>
    </cfRule>
  </conditionalFormatting>
  <conditionalFormatting sqref="G2:G12 G16:G28">
    <cfRule type="cellIs" dxfId="25" priority="38" stopIfTrue="1" operator="lessThan">
      <formula>0</formula>
    </cfRule>
  </conditionalFormatting>
  <conditionalFormatting sqref="G30:G41 G2:G12 G16:G26">
    <cfRule type="cellIs" dxfId="24" priority="64" operator="greaterThan">
      <formula>#REF!</formula>
    </cfRule>
  </conditionalFormatting>
  <conditionalFormatting sqref="G43:G54 G30:G41 G56:G67">
    <cfRule type="cellIs" dxfId="23" priority="55" stopIfTrue="1" operator="lessThan">
      <formula>0</formula>
    </cfRule>
  </conditionalFormatting>
  <conditionalFormatting sqref="G43:G54">
    <cfRule type="cellIs" dxfId="22" priority="45" stopIfTrue="1" operator="lessThan">
      <formula>0</formula>
    </cfRule>
    <cfRule type="cellIs" dxfId="21" priority="44" operator="greaterThan">
      <formula>#REF!</formula>
    </cfRule>
    <cfRule type="cellIs" dxfId="20" priority="43" stopIfTrue="1" operator="lessThan">
      <formula>0</formula>
    </cfRule>
    <cfRule type="cellIs" dxfId="19" priority="46" stopIfTrue="1" operator="greaterThanOrEqual">
      <formula>#REF!</formula>
    </cfRule>
  </conditionalFormatting>
  <conditionalFormatting sqref="G53:G54">
    <cfRule type="cellIs" dxfId="18" priority="31" stopIfTrue="1" operator="greaterThanOrEqual">
      <formula>#REF!</formula>
    </cfRule>
    <cfRule type="cellIs" dxfId="17" priority="30" stopIfTrue="1" operator="lessThan">
      <formula>0</formula>
    </cfRule>
    <cfRule type="cellIs" dxfId="16" priority="29" operator="greaterThan">
      <formula>#REF!</formula>
    </cfRule>
  </conditionalFormatting>
  <conditionalFormatting sqref="G56:G67">
    <cfRule type="cellIs" dxfId="15" priority="56" operator="greaterThan">
      <formula>#REF!</formula>
    </cfRule>
    <cfRule type="cellIs" dxfId="14" priority="57" stopIfTrue="1" operator="lessThan">
      <formula>0</formula>
    </cfRule>
    <cfRule type="cellIs" dxfId="13" priority="58" stopIfTrue="1" operator="greaterThanOrEqual">
      <formula>#REF!</formula>
    </cfRule>
  </conditionalFormatting>
  <conditionalFormatting sqref="G69:G80">
    <cfRule type="cellIs" dxfId="12" priority="42" stopIfTrue="1" operator="greaterThanOrEqual">
      <formula>#REF!</formula>
    </cfRule>
    <cfRule type="cellIs" dxfId="11" priority="41" stopIfTrue="1" operator="lessThan">
      <formula>0</formula>
    </cfRule>
    <cfRule type="cellIs" dxfId="10" priority="40" operator="greaterThan">
      <formula>#REF!</formula>
    </cfRule>
    <cfRule type="cellIs" dxfId="9" priority="39" stopIfTrue="1" operator="lessThan">
      <formula>0</formula>
    </cfRule>
  </conditionalFormatting>
  <conditionalFormatting sqref="G82:G92">
    <cfRule type="cellIs" dxfId="8" priority="53" stopIfTrue="1" operator="lessThan">
      <formula>0</formula>
    </cfRule>
    <cfRule type="cellIs" dxfId="7" priority="54" stopIfTrue="1" operator="greaterThanOrEqual">
      <formula>#REF!</formula>
    </cfRule>
    <cfRule type="cellIs" dxfId="6" priority="51" stopIfTrue="1" operator="lessThan">
      <formula>0</formula>
    </cfRule>
    <cfRule type="cellIs" dxfId="5" priority="52" operator="greaterThan">
      <formula>#REF!</formula>
    </cfRule>
  </conditionalFormatting>
  <conditionalFormatting sqref="G96:G106">
    <cfRule type="cellIs" dxfId="4" priority="47" stopIfTrue="1" operator="lessThan">
      <formula>0</formula>
    </cfRule>
    <cfRule type="cellIs" dxfId="3" priority="48" operator="greaterThan">
      <formula>#REF!</formula>
    </cfRule>
    <cfRule type="cellIs" dxfId="2" priority="49" stopIfTrue="1" operator="lessThan">
      <formula>0</formula>
    </cfRule>
    <cfRule type="cellIs" dxfId="1" priority="50" stopIfTrue="1" operator="greaterThanOrEqual">
      <formula>#REF!</formula>
    </cfRule>
  </conditionalFormatting>
  <conditionalFormatting sqref="H81">
    <cfRule type="cellIs" dxfId="0" priority="28" operator="greaterThan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/>
  <dimension ref="A1"/>
  <sheetViews>
    <sheetView workbookViewId="0"/>
  </sheetViews>
  <sheetFormatPr baseColWidth="10" defaultRowHeight="14.6" x14ac:dyDescent="0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</vt:lpstr>
      <vt:lpstr>Suivi</vt:lpstr>
      <vt:lpstr>Commentaires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2026-09-13T17:30:43Z</dcterms:created>
  <dcterms:modified xsi:type="dcterms:W3CDTF">2026-10-23T17:37:34Z</dcterms:modified>
</cp:coreProperties>
</file>
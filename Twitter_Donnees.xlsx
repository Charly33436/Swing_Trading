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8_{DDCE61DF-19C1-48FD-87BC-54781156816B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2" l="1"/>
  <c r="G71" i="2"/>
  <c r="G70" i="2"/>
  <c r="G69" i="2"/>
  <c r="G59" i="2"/>
  <c r="G58" i="2"/>
  <c r="G57" i="2"/>
  <c r="G56" i="2"/>
  <c r="G52" i="2"/>
  <c r="G51" i="2"/>
  <c r="G50" i="2"/>
  <c r="G49" i="2"/>
  <c r="G48" i="2"/>
  <c r="G47" i="2"/>
  <c r="G46" i="2"/>
  <c r="G45" i="2"/>
  <c r="G44" i="2"/>
  <c r="G43" i="2"/>
  <c r="G39" i="2"/>
  <c r="G38" i="2"/>
  <c r="G37" i="2"/>
  <c r="G36" i="2"/>
  <c r="G35" i="2"/>
  <c r="G34" i="2"/>
  <c r="G33" i="2"/>
  <c r="G32" i="2"/>
  <c r="G31" i="2"/>
  <c r="G30" i="2"/>
  <c r="G25" i="2"/>
  <c r="G24" i="2"/>
  <c r="G23" i="2"/>
  <c r="G22" i="2"/>
  <c r="G21" i="2"/>
  <c r="G20" i="2"/>
  <c r="G19" i="2"/>
  <c r="G18" i="2"/>
  <c r="G17" i="2"/>
  <c r="G16" i="2"/>
  <c r="G11" i="2"/>
  <c r="G10" i="2"/>
  <c r="G9" i="2"/>
  <c r="G8" i="2"/>
  <c r="G7" i="2"/>
  <c r="G6" i="2"/>
  <c r="G5" i="2"/>
  <c r="G4" i="2"/>
  <c r="G3" i="2"/>
  <c r="G2" i="2"/>
  <c r="G78" i="1"/>
  <c r="G77" i="1"/>
  <c r="G76" i="1"/>
  <c r="G75" i="1"/>
  <c r="G74" i="1"/>
  <c r="G73" i="1"/>
  <c r="G72" i="1"/>
  <c r="G71" i="1"/>
  <c r="G70" i="1"/>
  <c r="G69" i="1"/>
  <c r="G62" i="1"/>
  <c r="G61" i="1"/>
  <c r="G60" i="1"/>
  <c r="G59" i="1"/>
  <c r="G58" i="1"/>
  <c r="G57" i="1"/>
  <c r="G56" i="1"/>
  <c r="G52" i="1"/>
  <c r="G51" i="1"/>
  <c r="G50" i="1"/>
  <c r="G49" i="1"/>
  <c r="G48" i="1"/>
  <c r="G47" i="1"/>
  <c r="G46" i="1"/>
  <c r="G45" i="1"/>
  <c r="G44" i="1"/>
  <c r="G43" i="1"/>
  <c r="G39" i="1"/>
  <c r="G38" i="1"/>
  <c r="G37" i="1"/>
  <c r="G36" i="1"/>
  <c r="G35" i="1"/>
  <c r="G34" i="1"/>
  <c r="G33" i="1"/>
  <c r="G32" i="1"/>
  <c r="G31" i="1"/>
  <c r="G30" i="1"/>
  <c r="G25" i="1"/>
  <c r="G24" i="1"/>
  <c r="G23" i="1"/>
  <c r="G22" i="1"/>
  <c r="G21" i="1"/>
  <c r="G20" i="1"/>
  <c r="G19" i="1"/>
  <c r="G18" i="1"/>
  <c r="G17" i="1"/>
  <c r="G16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<sst xmlns="http://schemas.openxmlformats.org/spreadsheetml/2006/main" count="472" uniqueCount="160">
  <si>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</si>
  <si>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</si>
  <si>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</si>
  <si>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</si>
  <si>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</si>
  <si>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</si>
  <si>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</si>
  <si>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SRD</t>
  </si>
  <si>
    <t>STMPA</t>
  </si>
  <si>
    <t>STMICROELECTRONICS</t>
  </si>
  <si>
    <t>LIN</t>
  </si>
  <si>
    <t>B</t>
  </si>
  <si>
    <t>LINEDATA</t>
  </si>
  <si>
    <t>Moyenne</t>
  </si>
  <si>
    <t>nb &gt; 0</t>
  </si>
  <si>
    <t xml:space="preserve"> </t>
  </si>
  <si>
    <t>Les valeurs qui baissent 📉 avec des volumes 👎:</t>
  </si>
  <si>
    <t>NXI</t>
  </si>
  <si>
    <t>NEXITY</t>
  </si>
  <si>
    <t>FDE</t>
  </si>
  <si>
    <t>FRANCAISE ENER</t>
  </si>
  <si>
    <t>FGA</t>
  </si>
  <si>
    <t>FIGEAC AERO</t>
  </si>
  <si>
    <t>WLN</t>
  </si>
  <si>
    <t>A</t>
  </si>
  <si>
    <t>WORLDLINE</t>
  </si>
  <si>
    <t>LNA</t>
  </si>
  <si>
    <t>LNA SANTE</t>
  </si>
  <si>
    <t>Les Smallcaps qui montent 📈 avec des volumes 👍:</t>
  </si>
  <si>
    <t>ALCPB</t>
  </si>
  <si>
    <t>EG</t>
  </si>
  <si>
    <t>CAPITAL B</t>
  </si>
  <si>
    <t>ALWIT</t>
  </si>
  <si>
    <t>WITBE</t>
  </si>
  <si>
    <t>ALICA</t>
  </si>
  <si>
    <t>ICAP HOLDING</t>
  </si>
  <si>
    <t>ALCBI</t>
  </si>
  <si>
    <t>CBI</t>
  </si>
  <si>
    <t>DPT</t>
  </si>
  <si>
    <t>C</t>
  </si>
  <si>
    <t>ST DUPONT</t>
  </si>
  <si>
    <t>Les valeurs de confiance pour le LT👍:</t>
  </si>
  <si>
    <t>VIRP</t>
  </si>
  <si>
    <t>VIRBAC</t>
  </si>
  <si>
    <t>FNAC</t>
  </si>
  <si>
    <t>FNAC DARTY</t>
  </si>
  <si>
    <t>Conseil+</t>
  </si>
  <si>
    <t xml:space="preserve">Etoiles </t>
  </si>
  <si>
    <t>Décote</t>
  </si>
  <si>
    <t>Colonne2</t>
  </si>
  <si>
    <t>Etoiles Small</t>
  </si>
  <si>
    <t>Colonne3</t>
  </si>
  <si>
    <t>Confiance Small</t>
  </si>
  <si>
    <t>18/09/2026</t>
  </si>
  <si>
    <t>COFA</t>
  </si>
  <si>
    <t>COFACE</t>
  </si>
  <si>
    <t>DEC</t>
  </si>
  <si>
    <t>JCDECAUX</t>
  </si>
  <si>
    <t>ATEME</t>
  </si>
  <si>
    <t>MAU</t>
  </si>
  <si>
    <t>MAUREL ET PROM</t>
  </si>
  <si>
    <t>EXENS</t>
  </si>
  <si>
    <t>EXOSENS</t>
  </si>
  <si>
    <t>SFPI</t>
  </si>
  <si>
    <t>GROUPE SFPI</t>
  </si>
  <si>
    <t>ARAMI</t>
  </si>
  <si>
    <t>ARAMIS</t>
  </si>
  <si>
    <t>GAM</t>
  </si>
  <si>
    <t>GAUMONT</t>
  </si>
  <si>
    <t>VLTSA</t>
  </si>
  <si>
    <t>VOLTALIA</t>
  </si>
  <si>
    <t>STLAP</t>
  </si>
  <si>
    <t>STELLANTIS</t>
  </si>
  <si>
    <t>ATO</t>
  </si>
  <si>
    <t>ATOS</t>
  </si>
  <si>
    <t>S30</t>
  </si>
  <si>
    <t>SOLUTIONS 30</t>
  </si>
  <si>
    <t>ANTIN</t>
  </si>
  <si>
    <t>ANTIN INFRA</t>
  </si>
  <si>
    <t>WAVE</t>
  </si>
  <si>
    <t>WAVESTONE</t>
  </si>
  <si>
    <t>PEUG</t>
  </si>
  <si>
    <t>PEUGEOT INVEST</t>
  </si>
  <si>
    <t>NACON</t>
  </si>
  <si>
    <t>ALTME</t>
  </si>
  <si>
    <t>TME PHARMA</t>
  </si>
  <si>
    <t>ALCIS</t>
  </si>
  <si>
    <t>CATERING INTL CIS</t>
  </si>
  <si>
    <t>ALESA</t>
  </si>
  <si>
    <t>ECOSLOPS</t>
  </si>
  <si>
    <t>ALGLD</t>
  </si>
  <si>
    <t>GOLD BY GOLD</t>
  </si>
  <si>
    <t>ALTRA</t>
  </si>
  <si>
    <t>TRACTIAL</t>
  </si>
  <si>
    <t>MEMS</t>
  </si>
  <si>
    <t>MEMSCAP REPGT</t>
  </si>
  <si>
    <t>PUB</t>
  </si>
  <si>
    <t>PUBLICIS GRP</t>
  </si>
  <si>
    <t>SBT</t>
  </si>
  <si>
    <t>OENEO</t>
  </si>
  <si>
    <t>QDT</t>
  </si>
  <si>
    <t>QUADIENT</t>
  </si>
  <si>
    <t>BAIN</t>
  </si>
  <si>
    <t>BAINS MER MONACO</t>
  </si>
  <si>
    <t>EDEN</t>
  </si>
  <si>
    <t>EDENRED</t>
  </si>
  <si>
    <t>PLX</t>
  </si>
  <si>
    <t>PLUXEE</t>
  </si>
  <si>
    <t>SOP</t>
  </si>
  <si>
    <t>SOPRA STERIA GROUP</t>
  </si>
  <si>
    <t>DSY</t>
  </si>
  <si>
    <t>DASSAULT SYSTEMES</t>
  </si>
  <si>
    <t>IPS</t>
  </si>
  <si>
    <t>IPSOS</t>
  </si>
  <si>
    <t>CA</t>
  </si>
  <si>
    <t>CARREFOUR</t>
  </si>
  <si>
    <t>ABNX</t>
  </si>
  <si>
    <t>ABIONYX PHARMA</t>
  </si>
  <si>
    <t>ASY</t>
  </si>
  <si>
    <t>ASSYSTEM</t>
  </si>
  <si>
    <t>ALTA</t>
  </si>
  <si>
    <t>ALTAREA</t>
  </si>
  <si>
    <t>TFF</t>
  </si>
  <si>
    <t>TFF GROUP</t>
  </si>
  <si>
    <t>ALINS</t>
  </si>
  <si>
    <t>INTRASENSE</t>
  </si>
  <si>
    <t>ALCBX</t>
  </si>
  <si>
    <t>CIBOX INTERACTIVE</t>
  </si>
  <si>
    <t>ALJXR</t>
  </si>
  <si>
    <t xml:space="preserve">ARCHOS          </t>
  </si>
  <si>
    <t>DEEZR</t>
  </si>
  <si>
    <t>DEEZER</t>
  </si>
  <si>
    <t>ALCWE</t>
  </si>
  <si>
    <t>CHARWOOD ENERGY</t>
  </si>
  <si>
    <t>ALBIZ</t>
  </si>
  <si>
    <t>OBIZ</t>
  </si>
  <si>
    <t>ALINN</t>
  </si>
  <si>
    <t>INNELEC MULTIMEDIA</t>
  </si>
  <si>
    <t>ALAGO</t>
  </si>
  <si>
    <t>E-PANGO</t>
  </si>
  <si>
    <t>CAP</t>
  </si>
  <si>
    <t>CAP GEMINI</t>
  </si>
  <si>
    <t>BIM</t>
  </si>
  <si>
    <t>BIOMERIEUX</t>
  </si>
  <si>
    <t>ERF</t>
  </si>
  <si>
    <t>EUROFINS SCIENTIFIC</t>
  </si>
  <si>
    <t>TEP</t>
  </si>
  <si>
    <t>TÉLÉPERFORMANCE</t>
  </si>
  <si>
    <t>FRVIA</t>
  </si>
  <si>
    <t>FORVIA</t>
  </si>
  <si>
    <t>ITP</t>
  </si>
  <si>
    <t>INTER PARFUMS</t>
  </si>
  <si>
    <t>DIM</t>
  </si>
  <si>
    <t>SARTORIUS STED</t>
  </si>
  <si>
    <t>VETO</t>
  </si>
  <si>
    <t>VETOQUINOL</t>
  </si>
  <si>
    <t>OVH</t>
  </si>
  <si>
    <t>OVH GROUPE</t>
  </si>
  <si>
    <t>TTE</t>
  </si>
  <si>
    <t>TOTALENERGIES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</si>
</sst>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"/>
    <numFmt numFmtId="165" formatCode="_-* #,##0.00\ [$€-1]_-;\-* #,##0.00\ [$€-1]_-;_-* &quot;-&quot;??\ [$€-1]_-;_-@_-"/>
    <numFmt numFmtId="166" formatCode="dd/mm/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5" fontId="3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49" fontId="4" fillId="6" borderId="0" xfId="1" applyNumberFormat="1" applyFont="1" applyFill="1" applyProtection="1">
      <protection locked="0"/>
    </xf>
    <xf numFmtId="14" fontId="0" fillId="0" borderId="0" xfId="0" applyNumberFormat="1"/>
    <xf numFmtId="166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356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6200C8CA-3C02-4314-B02E-538755C1848A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427CED1-7632-4912-8D2D-F64439C17315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BF7C38AE-3A45-4D20-936E-AAFBEAB62E01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3">
        <v>46302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100</v>
      </c>
      <c r="C2" s="9" t="s">
        <v>7</v>
      </c>
      <c r="D2" s="10" t="s">
        <v>101</v>
      </c>
      <c r="E2" s="11">
        <v>14.9</v>
      </c>
      <c r="F2" s="12">
        <v>14.9</v>
      </c>
      <c r="G2" s="13">
        <f>(F2/E2-1)</f>
        <v>0</v>
      </c>
      <c r="H2" s="14"/>
    </row>
    <row r="3" spans="1:8" ht="15" customHeight="1" thickBot="1" x14ac:dyDescent="0.45">
      <c r="A3" s="15">
        <v>2</v>
      </c>
      <c r="B3" s="9" t="s">
        <v>102</v>
      </c>
      <c r="C3" s="9" t="s">
        <v>7</v>
      </c>
      <c r="D3" s="10" t="s">
        <v>103</v>
      </c>
      <c r="E3" s="11">
        <v>148</v>
      </c>
      <c r="F3" s="12">
        <v>148</v>
      </c>
      <c r="G3" s="13">
        <f>(F3/E3-1)</f>
        <v>0</v>
      </c>
      <c r="H3" s="6"/>
    </row>
    <row r="4" spans="1:8" ht="15" customHeight="1" thickBot="1" x14ac:dyDescent="0.45">
      <c r="A4" s="8">
        <v>3</v>
      </c>
      <c r="B4" s="9" t="s">
        <v>104</v>
      </c>
      <c r="C4" s="9" t="s">
        <v>7</v>
      </c>
      <c r="D4" s="10" t="s">
        <v>105</v>
      </c>
      <c r="E4" s="11">
        <v>28.13</v>
      </c>
      <c r="F4" s="12">
        <v>28.13</v>
      </c>
      <c r="G4" s="13">
        <f>(F4/E4-1)</f>
        <v>0</v>
      </c>
      <c r="H4" s="6"/>
    </row>
    <row r="5" spans="1:8" ht="15" customHeight="1" thickBot="1" x14ac:dyDescent="0.45">
      <c r="A5" s="15">
        <v>4</v>
      </c>
      <c r="B5" s="9" t="s">
        <v>106</v>
      </c>
      <c r="C5" s="9" t="s">
        <v>7</v>
      </c>
      <c r="D5" s="10" t="s">
        <v>107</v>
      </c>
      <c r="E5" s="11">
        <v>14.84</v>
      </c>
      <c r="F5" s="12">
        <v>14.84</v>
      </c>
      <c r="G5" s="13">
        <f>(F5/E5-1)</f>
        <v>0</v>
      </c>
      <c r="H5" s="6"/>
    </row>
    <row r="6" spans="1:8" ht="15" customHeight="1" thickBot="1" x14ac:dyDescent="0.45">
      <c r="A6" s="8">
        <v>5</v>
      </c>
      <c r="B6" s="9" t="s">
        <v>42</v>
      </c>
      <c r="C6" s="9" t="s">
        <v>7</v>
      </c>
      <c r="D6" s="10" t="s">
        <v>43</v>
      </c>
      <c r="E6" s="11">
        <v>318</v>
      </c>
      <c r="F6" s="12">
        <v>318</v>
      </c>
      <c r="G6" s="13">
        <f>(F6/E6-1)</f>
        <v>0</v>
      </c>
      <c r="H6" s="6"/>
    </row>
    <row r="7" spans="1:8" ht="15" customHeight="1" thickBot="1" x14ac:dyDescent="0.45">
      <c r="A7" s="15">
        <v>6</v>
      </c>
      <c r="B7" s="9" t="s">
        <v>108</v>
      </c>
      <c r="C7" s="9" t="s">
        <v>7</v>
      </c>
      <c r="D7" s="10" t="s">
        <v>109</v>
      </c>
      <c r="E7" s="11">
        <v>166.5</v>
      </c>
      <c r="F7" s="12">
        <v>166.5</v>
      </c>
      <c r="G7" s="13">
        <f>(F7/E7-1)</f>
        <v>0</v>
      </c>
      <c r="H7" s="6"/>
    </row>
    <row r="8" spans="1:8" ht="15" customHeight="1" thickBot="1" x14ac:dyDescent="0.45">
      <c r="A8" s="8">
        <v>7</v>
      </c>
      <c r="B8" s="9" t="s">
        <v>110</v>
      </c>
      <c r="C8" s="9" t="s">
        <v>7</v>
      </c>
      <c r="D8" s="10" t="s">
        <v>111</v>
      </c>
      <c r="E8" s="11">
        <v>21.61</v>
      </c>
      <c r="F8" s="12">
        <v>21.61</v>
      </c>
      <c r="G8" s="13">
        <f>(F8/E8-1)</f>
        <v>0</v>
      </c>
      <c r="H8" s="6"/>
    </row>
    <row r="9" spans="1:8" ht="15" customHeight="1" thickBot="1" x14ac:dyDescent="0.45">
      <c r="A9" s="15">
        <v>8</v>
      </c>
      <c r="B9" s="9" t="s">
        <v>44</v>
      </c>
      <c r="C9" s="9" t="s">
        <v>11</v>
      </c>
      <c r="D9" s="10" t="s">
        <v>45</v>
      </c>
      <c r="E9" s="11">
        <v>34.65</v>
      </c>
      <c r="F9" s="12">
        <v>34.65</v>
      </c>
      <c r="G9" s="13">
        <f>(F9/E9-1)</f>
        <v>0</v>
      </c>
      <c r="H9" s="6"/>
    </row>
    <row r="10" spans="1:8" ht="15" customHeight="1" thickBot="1" x14ac:dyDescent="0.45">
      <c r="A10" s="8">
        <v>9</v>
      </c>
      <c r="B10" s="9" t="s">
        <v>112</v>
      </c>
      <c r="C10" s="9" t="s">
        <v>7</v>
      </c>
      <c r="D10" s="10" t="s">
        <v>113</v>
      </c>
      <c r="E10" s="11">
        <v>36.06</v>
      </c>
      <c r="F10" s="12">
        <v>36.06</v>
      </c>
      <c r="G10" s="13">
        <f>(F10/E10-1)</f>
        <v>0</v>
      </c>
      <c r="H10" s="6"/>
    </row>
    <row r="11" spans="1:8" ht="15" customHeight="1" thickBot="1" x14ac:dyDescent="0.45">
      <c r="A11" s="15">
        <v>10</v>
      </c>
      <c r="B11" s="9" t="s">
        <v>114</v>
      </c>
      <c r="C11" s="9" t="s">
        <v>7</v>
      </c>
      <c r="D11" s="10" t="s">
        <v>115</v>
      </c>
      <c r="E11" s="11">
        <v>15.955</v>
      </c>
      <c r="F11" s="12">
        <v>15.955</v>
      </c>
      <c r="G11" s="13">
        <f>(F11/E11-1)</f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13</v>
      </c>
      <c r="G12" s="20">
        <v>0</v>
      </c>
      <c r="H12" s="46" t="s">
        <v>14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15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16</v>
      </c>
    </row>
    <row r="16" spans="1:8" ht="15" customHeight="1" thickBot="1" x14ac:dyDescent="0.45">
      <c r="A16" s="8">
        <v>1</v>
      </c>
      <c r="B16" s="9" t="s">
        <v>19</v>
      </c>
      <c r="C16" s="9" t="s">
        <v>7</v>
      </c>
      <c r="D16" s="10" t="s">
        <v>20</v>
      </c>
      <c r="E16" s="22">
        <v>14.48</v>
      </c>
      <c r="F16" s="12">
        <v>14.48</v>
      </c>
      <c r="G16" s="13">
        <f>(F16/E16-1)</f>
        <v>0</v>
      </c>
      <c r="H16" s="47"/>
    </row>
    <row r="17" spans="1:8" ht="15" customHeight="1" thickBot="1" x14ac:dyDescent="0.45">
      <c r="A17" s="15">
        <v>2</v>
      </c>
      <c r="B17" s="9" t="s">
        <v>83</v>
      </c>
      <c r="C17" s="9" t="s">
        <v>7</v>
      </c>
      <c r="D17" s="10" t="s">
        <v>83</v>
      </c>
      <c r="E17" s="22">
        <v>5.8999999999999997E-2</v>
      </c>
      <c r="F17" s="12">
        <v>5.8999999999999997E-2</v>
      </c>
      <c r="G17" s="13">
        <f>(F17/E17-1)</f>
        <v>0</v>
      </c>
      <c r="H17" s="6"/>
    </row>
    <row r="18" spans="1:8" ht="15" customHeight="1" thickBot="1" x14ac:dyDescent="0.45">
      <c r="A18" s="8">
        <v>3</v>
      </c>
      <c r="B18" s="9" t="s">
        <v>21</v>
      </c>
      <c r="C18" s="9" t="s">
        <v>7</v>
      </c>
      <c r="D18" s="10" t="s">
        <v>22</v>
      </c>
      <c r="E18" s="22">
        <v>10.64</v>
      </c>
      <c r="F18" s="12">
        <v>10.64</v>
      </c>
      <c r="G18" s="13">
        <f>(F18/E18-1)</f>
        <v>0</v>
      </c>
      <c r="H18" s="6"/>
    </row>
    <row r="19" spans="1:8" ht="15" customHeight="1" thickBot="1" x14ac:dyDescent="0.45">
      <c r="A19" s="15">
        <v>4</v>
      </c>
      <c r="B19" s="9" t="s">
        <v>116</v>
      </c>
      <c r="C19" s="9" t="s">
        <v>7</v>
      </c>
      <c r="D19" s="10" t="s">
        <v>117</v>
      </c>
      <c r="E19" s="22">
        <v>1.538</v>
      </c>
      <c r="F19" s="12">
        <v>1.538</v>
      </c>
      <c r="G19" s="13">
        <f>(F19/E19-1)</f>
        <v>0</v>
      </c>
      <c r="H19" s="6"/>
    </row>
    <row r="20" spans="1:8" ht="15" customHeight="1" thickBot="1" x14ac:dyDescent="0.45">
      <c r="A20" s="8">
        <v>5</v>
      </c>
      <c r="B20" s="9" t="s">
        <v>26</v>
      </c>
      <c r="C20" s="9" t="s">
        <v>11</v>
      </c>
      <c r="D20" s="10" t="s">
        <v>27</v>
      </c>
      <c r="E20" s="22">
        <v>22.9</v>
      </c>
      <c r="F20" s="12">
        <v>22.9</v>
      </c>
      <c r="G20" s="13">
        <f>(F20/E20-1)</f>
        <v>0</v>
      </c>
      <c r="H20" s="6"/>
    </row>
    <row r="21" spans="1:8" ht="15" customHeight="1" thickBot="1" x14ac:dyDescent="0.45">
      <c r="A21" s="15">
        <v>6</v>
      </c>
      <c r="B21" s="9" t="s">
        <v>118</v>
      </c>
      <c r="C21" s="9" t="s">
        <v>7</v>
      </c>
      <c r="D21" s="10" t="s">
        <v>119</v>
      </c>
      <c r="E21" s="22">
        <v>31.65</v>
      </c>
      <c r="F21" s="12">
        <v>31.65</v>
      </c>
      <c r="G21" s="13">
        <f>(F21/E21-1)</f>
        <v>0</v>
      </c>
      <c r="H21" s="6"/>
    </row>
    <row r="22" spans="1:8" ht="15" customHeight="1" thickBot="1" x14ac:dyDescent="0.45">
      <c r="A22" s="8">
        <v>7</v>
      </c>
      <c r="B22" s="9" t="s">
        <v>23</v>
      </c>
      <c r="C22" s="9" t="s">
        <v>24</v>
      </c>
      <c r="D22" s="10" t="s">
        <v>25</v>
      </c>
      <c r="E22" s="22">
        <v>10.374000000000001</v>
      </c>
      <c r="F22" s="12">
        <v>10.374000000000001</v>
      </c>
      <c r="G22" s="13">
        <f>(F22/E22-1)</f>
        <v>0</v>
      </c>
      <c r="H22" s="6"/>
    </row>
    <row r="23" spans="1:8" ht="15" customHeight="1" thickBot="1" x14ac:dyDescent="0.45">
      <c r="A23" s="15">
        <v>8</v>
      </c>
      <c r="B23" s="9" t="s">
        <v>75</v>
      </c>
      <c r="C23" s="9" t="s">
        <v>7</v>
      </c>
      <c r="D23" s="10" t="s">
        <v>76</v>
      </c>
      <c r="E23" s="22">
        <v>0.45400000000000001</v>
      </c>
      <c r="F23" s="12">
        <v>0.45400000000000001</v>
      </c>
      <c r="G23" s="13">
        <f>(F23/E23-1)</f>
        <v>0</v>
      </c>
      <c r="H23" s="6"/>
    </row>
    <row r="24" spans="1:8" ht="15" customHeight="1" thickBot="1" x14ac:dyDescent="0.45">
      <c r="A24" s="8">
        <v>9</v>
      </c>
      <c r="B24" s="9" t="s">
        <v>120</v>
      </c>
      <c r="C24" s="9" t="s">
        <v>7</v>
      </c>
      <c r="D24" s="10" t="s">
        <v>121</v>
      </c>
      <c r="E24" s="22">
        <v>74.099999999999994</v>
      </c>
      <c r="F24" s="12">
        <v>74.099999999999994</v>
      </c>
      <c r="G24" s="13">
        <f>(F24/E24-1)</f>
        <v>0</v>
      </c>
      <c r="H24" s="6"/>
    </row>
    <row r="25" spans="1:8" ht="15" customHeight="1" thickBot="1" x14ac:dyDescent="0.45">
      <c r="A25" s="15">
        <v>10</v>
      </c>
      <c r="B25" s="9" t="s">
        <v>122</v>
      </c>
      <c r="C25" s="9" t="s">
        <v>7</v>
      </c>
      <c r="D25" s="10" t="s">
        <v>123</v>
      </c>
      <c r="E25" s="22">
        <v>12.74</v>
      </c>
      <c r="F25" s="12">
        <v>12.74</v>
      </c>
      <c r="G25" s="13">
        <f>(F25/E25-1)</f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13</v>
      </c>
      <c r="G26" s="24">
        <v>0</v>
      </c>
      <c r="H26" s="46" t="s">
        <v>14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15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28</v>
      </c>
    </row>
    <row r="30" spans="1:8" ht="15" customHeight="1" thickBot="1" x14ac:dyDescent="0.45">
      <c r="A30" s="8">
        <v>1</v>
      </c>
      <c r="B30" s="7" t="s">
        <v>84</v>
      </c>
      <c r="C30" s="7" t="s">
        <v>30</v>
      </c>
      <c r="D30" s="51" t="s">
        <v>85</v>
      </c>
      <c r="E30" s="18">
        <v>0.13</v>
      </c>
      <c r="F30" s="12">
        <v>0.13</v>
      </c>
      <c r="G30" s="13">
        <f>(F30/E30-1)</f>
        <v>0</v>
      </c>
    </row>
    <row r="31" spans="1:8" ht="15" customHeight="1" thickBot="1" x14ac:dyDescent="0.45">
      <c r="A31" s="15">
        <v>2</v>
      </c>
      <c r="B31" s="7" t="s">
        <v>34</v>
      </c>
      <c r="C31" s="7" t="s">
        <v>30</v>
      </c>
      <c r="D31" s="51" t="s">
        <v>35</v>
      </c>
      <c r="E31" s="18">
        <v>9.86</v>
      </c>
      <c r="F31" s="12">
        <v>9.86</v>
      </c>
      <c r="G31" s="13">
        <f>(F31/E31-1)</f>
        <v>0</v>
      </c>
    </row>
    <row r="32" spans="1:8" ht="15" customHeight="1" thickBot="1" x14ac:dyDescent="0.45">
      <c r="A32" s="8">
        <v>3</v>
      </c>
      <c r="B32" s="7" t="s">
        <v>124</v>
      </c>
      <c r="C32" s="7" t="s">
        <v>30</v>
      </c>
      <c r="D32" s="51" t="s">
        <v>125</v>
      </c>
      <c r="E32" s="18">
        <v>0.252</v>
      </c>
      <c r="F32" s="12">
        <v>0.252</v>
      </c>
      <c r="G32" s="13">
        <f>(F32/E32-1)</f>
        <v>0</v>
      </c>
    </row>
    <row r="33" spans="1:8" ht="15" customHeight="1" thickBot="1" x14ac:dyDescent="0.45">
      <c r="A33" s="15">
        <v>4</v>
      </c>
      <c r="B33" s="7" t="s">
        <v>126</v>
      </c>
      <c r="C33" s="7" t="s">
        <v>39</v>
      </c>
      <c r="D33" s="51" t="s">
        <v>127</v>
      </c>
      <c r="E33" s="18">
        <v>1.2999999999999999E-2</v>
      </c>
      <c r="F33" s="12">
        <v>1.2999999999999999E-2</v>
      </c>
      <c r="G33" s="13">
        <f>(F33/E33-1)</f>
        <v>0</v>
      </c>
    </row>
    <row r="34" spans="1:8" ht="15" customHeight="1" thickBot="1" x14ac:dyDescent="0.45">
      <c r="A34" s="8">
        <v>5</v>
      </c>
      <c r="B34" s="7" t="s">
        <v>128</v>
      </c>
      <c r="C34" s="7" t="s">
        <v>30</v>
      </c>
      <c r="D34" s="51" t="s">
        <v>129</v>
      </c>
      <c r="E34" s="18">
        <v>0.27600000000000002</v>
      </c>
      <c r="F34" s="12">
        <v>0.27600000000000002</v>
      </c>
      <c r="G34" s="13">
        <f>(F34/E34-1)</f>
        <v>0</v>
      </c>
    </row>
    <row r="35" spans="1:8" ht="15" customHeight="1" thickBot="1" x14ac:dyDescent="0.45">
      <c r="A35" s="15">
        <v>6</v>
      </c>
      <c r="B35" s="7" t="s">
        <v>130</v>
      </c>
      <c r="C35" s="7" t="s">
        <v>39</v>
      </c>
      <c r="D35" s="51" t="s">
        <v>131</v>
      </c>
      <c r="E35" s="18">
        <v>1.36</v>
      </c>
      <c r="F35" s="12">
        <v>1.36</v>
      </c>
      <c r="G35" s="13">
        <f>(F35/E35-1)</f>
        <v>0</v>
      </c>
    </row>
    <row r="36" spans="1:8" ht="15" customHeight="1" thickBot="1" x14ac:dyDescent="0.45">
      <c r="A36" s="8">
        <v>7</v>
      </c>
      <c r="B36" s="7" t="s">
        <v>132</v>
      </c>
      <c r="C36" s="7" t="s">
        <v>30</v>
      </c>
      <c r="D36" s="51" t="s">
        <v>133</v>
      </c>
      <c r="E36" s="18">
        <v>3.46</v>
      </c>
      <c r="F36" s="12">
        <v>3.46</v>
      </c>
      <c r="G36" s="13">
        <f>(F36/E36-1)</f>
        <v>0</v>
      </c>
    </row>
    <row r="37" spans="1:8" ht="15" customHeight="1" thickBot="1" x14ac:dyDescent="0.45">
      <c r="A37" s="15">
        <v>8</v>
      </c>
      <c r="B37" s="7" t="s">
        <v>134</v>
      </c>
      <c r="C37" s="7" t="s">
        <v>30</v>
      </c>
      <c r="D37" s="51" t="s">
        <v>135</v>
      </c>
      <c r="E37" s="18">
        <v>2.76</v>
      </c>
      <c r="F37" s="12">
        <v>2.76</v>
      </c>
      <c r="G37" s="13">
        <f>(F37/E37-1)</f>
        <v>0</v>
      </c>
    </row>
    <row r="38" spans="1:8" ht="15" customHeight="1" thickBot="1" x14ac:dyDescent="0.45">
      <c r="A38" s="8">
        <v>9</v>
      </c>
      <c r="B38" s="7" t="s">
        <v>136</v>
      </c>
      <c r="C38" s="7" t="s">
        <v>30</v>
      </c>
      <c r="D38" s="51" t="s">
        <v>137</v>
      </c>
      <c r="E38" s="18">
        <v>2.3199999999999998</v>
      </c>
      <c r="F38" s="12">
        <v>2.3199999999999998</v>
      </c>
      <c r="G38" s="13">
        <f>(F38/E38-1)</f>
        <v>0</v>
      </c>
    </row>
    <row r="39" spans="1:8" ht="15" customHeight="1" thickBot="1" x14ac:dyDescent="0.45">
      <c r="A39" s="15">
        <v>10</v>
      </c>
      <c r="B39" s="7" t="s">
        <v>138</v>
      </c>
      <c r="C39" s="7" t="s">
        <v>30</v>
      </c>
      <c r="D39" s="51" t="s">
        <v>139</v>
      </c>
      <c r="E39" s="18">
        <v>0.16400000000000001</v>
      </c>
      <c r="F39" s="12">
        <v>0.16400000000000001</v>
      </c>
      <c r="G39" s="13">
        <f>(F39/E39-1)</f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13</v>
      </c>
      <c r="G40" s="29">
        <v>0</v>
      </c>
      <c r="H40" s="46" t="s">
        <v>14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15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41</v>
      </c>
    </row>
    <row r="43" spans="1:8" ht="15" customHeight="1" thickBot="1" x14ac:dyDescent="0.45">
      <c r="A43" s="8">
        <v>1</v>
      </c>
      <c r="B43" s="9" t="s">
        <v>140</v>
      </c>
      <c r="C43" s="9" t="s">
        <v>7</v>
      </c>
      <c r="D43" s="10" t="s">
        <v>141</v>
      </c>
      <c r="E43" s="11">
        <v>110.9</v>
      </c>
      <c r="F43" s="12">
        <v>110.9</v>
      </c>
      <c r="G43" s="13">
        <f>(F43/E43-1)</f>
        <v>0</v>
      </c>
    </row>
    <row r="44" spans="1:8" ht="15" customHeight="1" thickBot="1" x14ac:dyDescent="0.45">
      <c r="A44" s="15">
        <v>2</v>
      </c>
      <c r="B44" s="9" t="s">
        <v>108</v>
      </c>
      <c r="C44" s="9" t="s">
        <v>7</v>
      </c>
      <c r="D44" s="10" t="s">
        <v>109</v>
      </c>
      <c r="E44" s="11">
        <v>166.5</v>
      </c>
      <c r="F44" s="12">
        <v>166.5</v>
      </c>
      <c r="G44" s="13">
        <f>(F44/E44-1)</f>
        <v>0</v>
      </c>
    </row>
    <row r="45" spans="1:8" ht="15" customHeight="1" thickBot="1" x14ac:dyDescent="0.45">
      <c r="A45" s="8">
        <v>3</v>
      </c>
      <c r="B45" s="9" t="s">
        <v>142</v>
      </c>
      <c r="C45" s="9" t="s">
        <v>7</v>
      </c>
      <c r="D45" s="10" t="s">
        <v>143</v>
      </c>
      <c r="E45" s="11">
        <v>80.75</v>
      </c>
      <c r="F45" s="12">
        <v>80.75</v>
      </c>
      <c r="G45" s="13">
        <f>(F45/E45-1)</f>
        <v>0</v>
      </c>
    </row>
    <row r="46" spans="1:8" ht="15" customHeight="1" thickBot="1" x14ac:dyDescent="0.45">
      <c r="A46" s="15">
        <v>4</v>
      </c>
      <c r="B46" s="9" t="s">
        <v>114</v>
      </c>
      <c r="C46" s="9" t="s">
        <v>7</v>
      </c>
      <c r="D46" s="10" t="s">
        <v>115</v>
      </c>
      <c r="E46" s="11">
        <v>15.955</v>
      </c>
      <c r="F46" s="12">
        <v>15.955</v>
      </c>
      <c r="G46" s="13">
        <f>(F46/E46-1)</f>
        <v>0</v>
      </c>
    </row>
    <row r="47" spans="1:8" ht="15" customHeight="1" thickBot="1" x14ac:dyDescent="0.45">
      <c r="A47" s="8">
        <v>5</v>
      </c>
      <c r="B47" s="9" t="s">
        <v>104</v>
      </c>
      <c r="C47" s="9" t="s">
        <v>7</v>
      </c>
      <c r="D47" s="10" t="s">
        <v>105</v>
      </c>
      <c r="E47" s="11">
        <v>28.13</v>
      </c>
      <c r="F47" s="12">
        <v>28.13</v>
      </c>
      <c r="G47" s="13">
        <f>(F47/E47-1)</f>
        <v>0</v>
      </c>
    </row>
    <row r="48" spans="1:8" ht="15" customHeight="1" thickBot="1" x14ac:dyDescent="0.45">
      <c r="A48" s="15">
        <v>6</v>
      </c>
      <c r="B48" s="9" t="s">
        <v>96</v>
      </c>
      <c r="C48" s="9" t="s">
        <v>7</v>
      </c>
      <c r="D48" s="10" t="s">
        <v>97</v>
      </c>
      <c r="E48" s="11">
        <v>95.26</v>
      </c>
      <c r="F48" s="12">
        <v>95.26</v>
      </c>
      <c r="G48" s="13">
        <f>(F48/E48-1)</f>
        <v>0</v>
      </c>
    </row>
    <row r="49" spans="1:8" ht="15" customHeight="1" thickBot="1" x14ac:dyDescent="0.45">
      <c r="A49" s="8">
        <v>7</v>
      </c>
      <c r="B49" s="9" t="s">
        <v>110</v>
      </c>
      <c r="C49" s="9" t="s">
        <v>7</v>
      </c>
      <c r="D49" s="10" t="s">
        <v>111</v>
      </c>
      <c r="E49" s="11">
        <v>21.61</v>
      </c>
      <c r="F49" s="12">
        <v>21.61</v>
      </c>
      <c r="G49" s="13">
        <f>(F49/E49-1)</f>
        <v>0</v>
      </c>
    </row>
    <row r="50" spans="1:8" ht="15" customHeight="1" thickBot="1" x14ac:dyDescent="0.45">
      <c r="A50" s="15">
        <v>8</v>
      </c>
      <c r="B50" s="9" t="s">
        <v>44</v>
      </c>
      <c r="C50" s="9" t="s">
        <v>11</v>
      </c>
      <c r="D50" s="10" t="s">
        <v>45</v>
      </c>
      <c r="E50" s="11">
        <v>34.65</v>
      </c>
      <c r="F50" s="12">
        <v>34.65</v>
      </c>
      <c r="G50" s="13">
        <f>(F50/E50-1)</f>
        <v>0</v>
      </c>
    </row>
    <row r="51" spans="1:8" ht="15" customHeight="1" thickBot="1" x14ac:dyDescent="0.45">
      <c r="A51" s="8">
        <v>9</v>
      </c>
      <c r="B51" s="9" t="s">
        <v>42</v>
      </c>
      <c r="C51" s="9" t="s">
        <v>7</v>
      </c>
      <c r="D51" s="10" t="s">
        <v>43</v>
      </c>
      <c r="E51" s="11">
        <v>318</v>
      </c>
      <c r="F51" s="12">
        <v>318</v>
      </c>
      <c r="G51" s="13">
        <f>(F51/E51-1)</f>
        <v>0</v>
      </c>
    </row>
    <row r="52" spans="1:8" ht="15" customHeight="1" thickBot="1" x14ac:dyDescent="0.45">
      <c r="A52" s="15">
        <v>10</v>
      </c>
      <c r="B52" s="9" t="s">
        <v>112</v>
      </c>
      <c r="C52" s="9" t="s">
        <v>7</v>
      </c>
      <c r="D52" s="10" t="s">
        <v>113</v>
      </c>
      <c r="E52" s="11">
        <v>36.06</v>
      </c>
      <c r="F52" s="12">
        <v>36.06</v>
      </c>
      <c r="G52" s="13">
        <f>(F52/E52-1)</f>
        <v>0</v>
      </c>
    </row>
    <row r="53" spans="1:8" ht="15.45" customHeight="1" thickBot="1" x14ac:dyDescent="0.45">
      <c r="A53" s="15"/>
      <c r="B53" s="7"/>
      <c r="C53" s="16"/>
      <c r="D53" s="17"/>
      <c r="F53" s="28" t="s">
        <v>13</v>
      </c>
      <c r="G53" s="34">
        <v>0</v>
      </c>
      <c r="H53" s="46" t="s">
        <v>14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15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46</v>
      </c>
    </row>
    <row r="56" spans="1:8" ht="15" customHeight="1" thickBot="1" x14ac:dyDescent="0.45">
      <c r="A56" s="8">
        <v>1</v>
      </c>
      <c r="B56" s="36" t="s">
        <v>8</v>
      </c>
      <c r="C56" s="30" t="s">
        <v>7</v>
      </c>
      <c r="D56" s="36" t="s">
        <v>9</v>
      </c>
      <c r="E56" s="18">
        <v>49.895000000000003</v>
      </c>
      <c r="F56" s="12">
        <v>49.895000000000003</v>
      </c>
      <c r="G56" s="37">
        <f>(F56/E56-1)</f>
        <v>0</v>
      </c>
      <c r="H56" s="6"/>
    </row>
    <row r="57" spans="1:8" ht="15" customHeight="1" thickBot="1" x14ac:dyDescent="0.45">
      <c r="A57" s="15">
        <v>2</v>
      </c>
      <c r="B57" s="36" t="s">
        <v>144</v>
      </c>
      <c r="C57" s="30" t="s">
        <v>7</v>
      </c>
      <c r="D57" s="36" t="s">
        <v>145</v>
      </c>
      <c r="E57" s="18">
        <v>76.52</v>
      </c>
      <c r="F57" s="12">
        <v>76.52</v>
      </c>
      <c r="G57" s="37">
        <f>(F57/E57-1)</f>
        <v>0</v>
      </c>
      <c r="H57" s="6"/>
    </row>
    <row r="58" spans="1:8" ht="15" customHeight="1" thickBot="1" x14ac:dyDescent="0.45">
      <c r="A58" s="8">
        <v>3</v>
      </c>
      <c r="B58" s="36" t="s">
        <v>146</v>
      </c>
      <c r="C58" s="30" t="s">
        <v>7</v>
      </c>
      <c r="D58" s="36" t="s">
        <v>147</v>
      </c>
      <c r="E58" s="18">
        <v>70.760000000000005</v>
      </c>
      <c r="F58" s="12">
        <v>70.760000000000005</v>
      </c>
      <c r="G58" s="37">
        <f>(F58/E58-1)</f>
        <v>0</v>
      </c>
      <c r="H58" s="6"/>
    </row>
    <row r="59" spans="1:8" ht="15" customHeight="1" thickBot="1" x14ac:dyDescent="0.45">
      <c r="A59" s="15">
        <v>4</v>
      </c>
      <c r="B59" s="36" t="s">
        <v>100</v>
      </c>
      <c r="C59" s="30" t="s">
        <v>7</v>
      </c>
      <c r="D59" s="36" t="s">
        <v>101</v>
      </c>
      <c r="E59" s="18">
        <v>14.9</v>
      </c>
      <c r="F59" s="12">
        <v>14.9</v>
      </c>
      <c r="G59" s="37">
        <f>(F59/E59-1)</f>
        <v>0</v>
      </c>
      <c r="H59" s="6"/>
    </row>
    <row r="60" spans="1:8" ht="15" customHeight="1" thickBot="1" x14ac:dyDescent="0.45">
      <c r="A60" s="8">
        <v>5</v>
      </c>
      <c r="B60" s="36" t="s">
        <v>148</v>
      </c>
      <c r="C60" s="30" t="s">
        <v>7</v>
      </c>
      <c r="D60" s="36" t="s">
        <v>149</v>
      </c>
      <c r="E60" s="18">
        <v>9.6999999999999993</v>
      </c>
      <c r="F60" s="12">
        <v>9.6999999999999993</v>
      </c>
      <c r="G60" s="37">
        <f>(F60/E60-1)</f>
        <v>0</v>
      </c>
      <c r="H60" s="6"/>
    </row>
    <row r="61" spans="1:8" ht="15" customHeight="1" thickBot="1" x14ac:dyDescent="0.45">
      <c r="A61" s="15">
        <v>6</v>
      </c>
      <c r="B61" s="36" t="s">
        <v>110</v>
      </c>
      <c r="C61" s="30" t="s">
        <v>7</v>
      </c>
      <c r="D61" s="36" t="s">
        <v>111</v>
      </c>
      <c r="E61" s="18">
        <v>21.61</v>
      </c>
      <c r="F61" s="12">
        <v>21.61</v>
      </c>
      <c r="G61" s="37">
        <f>(F61/E61-1)</f>
        <v>0</v>
      </c>
      <c r="H61" s="6"/>
    </row>
    <row r="62" spans="1:8" ht="15" customHeight="1" thickBot="1" x14ac:dyDescent="0.45">
      <c r="A62" s="8">
        <v>7</v>
      </c>
      <c r="B62" s="36" t="s">
        <v>106</v>
      </c>
      <c r="C62" s="30" t="s">
        <v>7</v>
      </c>
      <c r="D62" s="36" t="s">
        <v>107</v>
      </c>
      <c r="E62" s="18">
        <v>14.84</v>
      </c>
      <c r="F62" s="12">
        <v>14.84</v>
      </c>
      <c r="G62" s="37">
        <f>(F62/E62-1)</f>
        <v>0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13</v>
      </c>
      <c r="G66" s="34" t="e">
        <v>#VALUE!</v>
      </c>
      <c r="H66" s="48" t="s">
        <v>14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15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47</v>
      </c>
    </row>
    <row r="69" spans="1:8" ht="15" customHeight="1" thickBot="1" x14ac:dyDescent="0.45">
      <c r="A69" s="8">
        <v>1</v>
      </c>
      <c r="B69" s="36" t="s">
        <v>150</v>
      </c>
      <c r="C69" s="30" t="s">
        <v>7</v>
      </c>
      <c r="D69" s="36" t="s">
        <v>151</v>
      </c>
      <c r="E69" s="18">
        <v>30.52</v>
      </c>
      <c r="F69" s="12">
        <v>30.52</v>
      </c>
      <c r="G69" s="37">
        <f>(F69/E69-1)</f>
        <v>0</v>
      </c>
      <c r="H69" s="6"/>
    </row>
    <row r="70" spans="1:8" ht="15" customHeight="1" thickBot="1" x14ac:dyDescent="0.45">
      <c r="A70" s="15">
        <v>2</v>
      </c>
      <c r="B70" s="36" t="s">
        <v>152</v>
      </c>
      <c r="C70" s="30" t="s">
        <v>7</v>
      </c>
      <c r="D70" s="36" t="s">
        <v>153</v>
      </c>
      <c r="E70" s="18">
        <v>218.8</v>
      </c>
      <c r="F70" s="12">
        <v>218.8</v>
      </c>
      <c r="G70" s="37">
        <f>(F70/E70-1)</f>
        <v>0</v>
      </c>
      <c r="H70" s="6"/>
    </row>
    <row r="71" spans="1:8" ht="15" customHeight="1" thickBot="1" x14ac:dyDescent="0.45">
      <c r="A71" s="8">
        <v>3</v>
      </c>
      <c r="B71" s="36" t="s">
        <v>110</v>
      </c>
      <c r="C71" s="30" t="s">
        <v>7</v>
      </c>
      <c r="D71" s="36" t="s">
        <v>111</v>
      </c>
      <c r="E71" s="18">
        <v>21.61</v>
      </c>
      <c r="F71" s="12">
        <v>21.61</v>
      </c>
      <c r="G71" s="37">
        <f>(F71/E71-1)</f>
        <v>0</v>
      </c>
      <c r="H71" s="6"/>
    </row>
    <row r="72" spans="1:8" ht="15" customHeight="1" thickBot="1" x14ac:dyDescent="0.45">
      <c r="A72" s="15">
        <v>4</v>
      </c>
      <c r="B72" s="36" t="s">
        <v>154</v>
      </c>
      <c r="C72" s="30" t="s">
        <v>7</v>
      </c>
      <c r="D72" s="36" t="s">
        <v>155</v>
      </c>
      <c r="E72" s="18">
        <v>76.5</v>
      </c>
      <c r="F72" s="12">
        <v>76.5</v>
      </c>
      <c r="G72" s="37">
        <f>(F72/E72-1)</f>
        <v>0</v>
      </c>
      <c r="H72" s="6"/>
    </row>
    <row r="73" spans="1:8" ht="15" customHeight="1" thickBot="1" x14ac:dyDescent="0.45">
      <c r="A73" s="8">
        <v>5</v>
      </c>
      <c r="B73" s="36" t="s">
        <v>156</v>
      </c>
      <c r="C73" s="30" t="s">
        <v>24</v>
      </c>
      <c r="D73" s="36" t="s">
        <v>157</v>
      </c>
      <c r="E73" s="18">
        <v>15.79</v>
      </c>
      <c r="F73" s="12">
        <v>15.79</v>
      </c>
      <c r="G73" s="37">
        <f>(F73/E73-1)</f>
        <v>0</v>
      </c>
      <c r="H73" s="6"/>
    </row>
    <row r="74" spans="1:8" ht="15" customHeight="1" thickBot="1" x14ac:dyDescent="0.45">
      <c r="A74" s="15">
        <v>6</v>
      </c>
      <c r="B74" s="36" t="s">
        <v>8</v>
      </c>
      <c r="C74" s="30" t="s">
        <v>7</v>
      </c>
      <c r="D74" s="36" t="s">
        <v>9</v>
      </c>
      <c r="E74" s="18">
        <v>49.895000000000003</v>
      </c>
      <c r="F74" s="12">
        <v>49.895000000000003</v>
      </c>
      <c r="G74" s="37">
        <f>(F74/E74-1)</f>
        <v>0</v>
      </c>
      <c r="H74" s="6"/>
    </row>
    <row r="75" spans="1:8" ht="15" customHeight="1" thickBot="1" x14ac:dyDescent="0.45">
      <c r="A75" s="8">
        <v>7</v>
      </c>
      <c r="B75" s="36" t="s">
        <v>144</v>
      </c>
      <c r="C75" s="30" t="s">
        <v>7</v>
      </c>
      <c r="D75" s="36" t="s">
        <v>145</v>
      </c>
      <c r="E75" s="18">
        <v>76.52</v>
      </c>
      <c r="F75" s="12">
        <v>76.52</v>
      </c>
      <c r="G75" s="37">
        <f>(F75/E75-1)</f>
        <v>0</v>
      </c>
      <c r="H75" s="6"/>
    </row>
    <row r="76" spans="1:8" ht="15" customHeight="1" thickBot="1" x14ac:dyDescent="0.45">
      <c r="A76" s="15">
        <v>8</v>
      </c>
      <c r="B76" s="36" t="s">
        <v>146</v>
      </c>
      <c r="C76" s="30" t="s">
        <v>7</v>
      </c>
      <c r="D76" s="36" t="s">
        <v>147</v>
      </c>
      <c r="E76" s="18">
        <v>70.760000000000005</v>
      </c>
      <c r="F76" s="12">
        <v>70.760000000000005</v>
      </c>
      <c r="G76" s="37">
        <f>(F76/E76-1)</f>
        <v>0</v>
      </c>
      <c r="H76" s="6"/>
    </row>
    <row r="77" spans="1:8" ht="15" customHeight="1" thickBot="1" x14ac:dyDescent="0.45">
      <c r="A77" s="8">
        <v>9</v>
      </c>
      <c r="B77" s="36" t="s">
        <v>100</v>
      </c>
      <c r="C77" s="30" t="s">
        <v>7</v>
      </c>
      <c r="D77" s="36" t="s">
        <v>101</v>
      </c>
      <c r="E77" s="18">
        <v>14.9</v>
      </c>
      <c r="F77" s="12">
        <v>14.9</v>
      </c>
      <c r="G77" s="37">
        <f>(F77/E77-1)</f>
        <v>0</v>
      </c>
      <c r="H77" s="6"/>
    </row>
    <row r="78" spans="1:8" ht="15" customHeight="1" thickBot="1" x14ac:dyDescent="0.45">
      <c r="A78" s="15">
        <v>10</v>
      </c>
      <c r="B78" s="36" t="s">
        <v>148</v>
      </c>
      <c r="C78" s="30" t="s">
        <v>7</v>
      </c>
      <c r="D78" s="36" t="s">
        <v>149</v>
      </c>
      <c r="E78" s="18">
        <v>9.6999999999999993</v>
      </c>
      <c r="F78" s="12">
        <v>9.6999999999999993</v>
      </c>
      <c r="G78" s="37">
        <f>(F78/E78-1)</f>
        <v>0</v>
      </c>
      <c r="H78" s="6"/>
    </row>
    <row r="79" spans="1:8" ht="15.45" customHeight="1" x14ac:dyDescent="0.4">
      <c r="B79" s="14"/>
      <c r="F79" s="38" t="s">
        <v>13</v>
      </c>
      <c r="G79" s="34">
        <v>0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15</v>
      </c>
      <c r="B81" s="41" t="s">
        <v>48</v>
      </c>
      <c r="C81" t="s">
        <v>49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13</v>
      </c>
      <c r="G92" s="34" t="e">
        <v>#VALUE!</v>
      </c>
    </row>
    <row r="93" spans="1:8" x14ac:dyDescent="0.4">
      <c r="B93" s="14"/>
      <c r="F93" s="6"/>
      <c r="H93" s="48" t="s">
        <v>14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15</v>
      </c>
      <c r="B95" s="41" t="s">
        <v>50</v>
      </c>
      <c r="C95" t="s">
        <v>49</v>
      </c>
      <c r="D95" s="43" t="s">
        <v>51</v>
      </c>
      <c r="E95" s="3" t="s">
        <v>3</v>
      </c>
      <c r="F95" s="4" t="s">
        <v>4</v>
      </c>
      <c r="G95" s="5" t="s">
        <v>5</v>
      </c>
      <c r="H95" s="45" t="s">
        <v>52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13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14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14</v>
      </c>
    </row>
  </sheetData>
  <conditionalFormatting sqref="B56:B65">
    <cfRule type="expression" dxfId="177" priority="22" stopIfTrue="1">
      <formula>IF(AO56&gt;0,TRUE,FALSE)</formula>
    </cfRule>
  </conditionalFormatting>
  <conditionalFormatting sqref="B69:B78">
    <cfRule type="expression" dxfId="176" priority="20" stopIfTrue="1">
      <formula>IF(AO69&gt;0,TRUE,FALSE)</formula>
    </cfRule>
  </conditionalFormatting>
  <conditionalFormatting sqref="B81">
    <cfRule type="expression" dxfId="175" priority="62" stopIfTrue="1">
      <formula>IF(AN62&gt;0,TRUE,FALSE)</formula>
    </cfRule>
  </conditionalFormatting>
  <conditionalFormatting sqref="B82:B91">
    <cfRule type="expression" dxfId="174" priority="26" stopIfTrue="1">
      <formula>IF(AL82&gt;0,TRUE,FALSE)</formula>
    </cfRule>
  </conditionalFormatting>
  <conditionalFormatting sqref="B92">
    <cfRule type="expression" dxfId="173" priority="58" stopIfTrue="1">
      <formula>IF(AL91&gt;0,TRUE,FALSE)</formula>
    </cfRule>
  </conditionalFormatting>
  <conditionalFormatting sqref="B95">
    <cfRule type="expression" dxfId="172" priority="61" stopIfTrue="1">
      <formula>IF(AN75&gt;0,TRUE,FALSE)</formula>
    </cfRule>
  </conditionalFormatting>
  <conditionalFormatting sqref="B96:B105">
    <cfRule type="expression" dxfId="171" priority="24" stopIfTrue="1">
      <formula>IF(AO96&gt;0,TRUE,FALSE)</formula>
    </cfRule>
  </conditionalFormatting>
  <conditionalFormatting sqref="B106">
    <cfRule type="expression" dxfId="170" priority="59" stopIfTrue="1">
      <formula>IF(AN104&gt;0,TRUE,FALSE)</formula>
    </cfRule>
  </conditionalFormatting>
  <conditionalFormatting sqref="B107">
    <cfRule type="expression" dxfId="169" priority="60" stopIfTrue="1">
      <formula>IF(AN104&gt;0,TRUE,FALSE)</formula>
    </cfRule>
  </conditionalFormatting>
  <conditionalFormatting sqref="D56:D65">
    <cfRule type="expression" dxfId="168" priority="21" stopIfTrue="1">
      <formula>IF(AQ56&gt;0,TRUE,FALSE)</formula>
    </cfRule>
  </conditionalFormatting>
  <conditionalFormatting sqref="D69:D78">
    <cfRule type="expression" dxfId="167" priority="19" stopIfTrue="1">
      <formula>IF(AQ69&gt;0,TRUE,FALSE)</formula>
    </cfRule>
  </conditionalFormatting>
  <conditionalFormatting sqref="D82:D91">
    <cfRule type="expression" dxfId="166" priority="25" stopIfTrue="1">
      <formula>IF(AN82&gt;0,TRUE,FALSE)</formula>
    </cfRule>
  </conditionalFormatting>
  <conditionalFormatting sqref="D96:D105">
    <cfRule type="expression" dxfId="165" priority="23" stopIfTrue="1">
      <formula>IF(AQ96&gt;0,TRUE,FALSE)</formula>
    </cfRule>
  </conditionalFormatting>
  <conditionalFormatting sqref="F2:F11 F16:F25">
    <cfRule type="expression" dxfId="164" priority="31" stopIfTrue="1">
      <formula>IF(#REF!="AAA",TRUE,FALSE)</formula>
    </cfRule>
    <cfRule type="expression" dxfId="163" priority="32" stopIfTrue="1">
      <formula>IF($T200="AAA",TRUE,FALSE)</formula>
    </cfRule>
    <cfRule type="expression" dxfId="162" priority="33" stopIfTrue="1">
      <formula>IF($U200="AAA",TRUE,FALSE)</formula>
    </cfRule>
    <cfRule type="expression" dxfId="161" priority="34" stopIfTrue="1">
      <formula>IF($AN1048554="AAA",TRUE,FALSE)</formula>
    </cfRule>
    <cfRule type="expression" dxfId="160" priority="35" stopIfTrue="1">
      <formula>IF($T200="AAA",TRUE,FALSE)</formula>
    </cfRule>
    <cfRule type="expression" dxfId="159" priority="36" stopIfTrue="1">
      <formula>IF($U200="AAA",TRUE,FALSE)</formula>
    </cfRule>
  </conditionalFormatting>
  <conditionalFormatting sqref="F43:F52">
    <cfRule type="expression" dxfId="158" priority="77" stopIfTrue="1">
      <formula>IF(#REF!="AAA",TRUE,FALSE)</formula>
    </cfRule>
    <cfRule type="expression" dxfId="157" priority="78" stopIfTrue="1">
      <formula>IF($T242="AAA",TRUE,FALSE)</formula>
    </cfRule>
    <cfRule type="expression" dxfId="156" priority="79" stopIfTrue="1">
      <formula>IF($U242="AAA",TRUE,FALSE)</formula>
    </cfRule>
    <cfRule type="expression" dxfId="155" priority="80" stopIfTrue="1">
      <formula>IF($AN17="AAA",TRUE,FALSE)</formula>
    </cfRule>
    <cfRule type="expression" dxfId="154" priority="81" stopIfTrue="1">
      <formula>IF($T242="AAA",TRUE,FALSE)</formula>
    </cfRule>
    <cfRule type="expression" dxfId="153" priority="82" stopIfTrue="1">
      <formula>IF($U242="AAA",TRUE,FALSE)</formula>
    </cfRule>
  </conditionalFormatting>
  <conditionalFormatting sqref="F82:F91">
    <cfRule type="expression" dxfId="152" priority="66" stopIfTrue="1">
      <formula>IF(#REF!="AAA",TRUE,FALSE)</formula>
    </cfRule>
  </conditionalFormatting>
  <conditionalFormatting sqref="F83:F91">
    <cfRule type="expression" dxfId="151" priority="67" stopIfTrue="1">
      <formula>IF($AN55="AAA",TRUE,FALSE)</formula>
    </cfRule>
    <cfRule type="expression" dxfId="150" priority="68" stopIfTrue="1">
      <formula>IF($T279="AAA",TRUE,FALSE)</formula>
    </cfRule>
    <cfRule type="expression" dxfId="149" priority="69" stopIfTrue="1">
      <formula>IF($U279="AAA",TRUE,FALSE)</formula>
    </cfRule>
  </conditionalFormatting>
  <conditionalFormatting sqref="F96:F97">
    <cfRule type="expression" dxfId="148" priority="74" stopIfTrue="1">
      <formula>IF($AN65="AAA",TRUE,FALSE)</formula>
    </cfRule>
    <cfRule type="expression" dxfId="147" priority="75" stopIfTrue="1">
      <formula>IF($T291="AAA",TRUE,FALSE)</formula>
    </cfRule>
    <cfRule type="expression" dxfId="146" priority="76" stopIfTrue="1">
      <formula>IF($U291="AAA",TRUE,FALSE)</formula>
    </cfRule>
  </conditionalFormatting>
  <conditionalFormatting sqref="F96:F106">
    <cfRule type="expression" dxfId="145" priority="70" stopIfTrue="1">
      <formula>IF(#REF!="AAA",TRUE,FALSE)</formula>
    </cfRule>
  </conditionalFormatting>
  <conditionalFormatting sqref="F98:F106">
    <cfRule type="expression" dxfId="144" priority="71" stopIfTrue="1">
      <formula>IF($AN68="AAA",TRUE,FALSE)</formula>
    </cfRule>
    <cfRule type="expression" dxfId="143" priority="72" stopIfTrue="1">
      <formula>IF($T293="AAA",TRUE,FALSE)</formula>
    </cfRule>
    <cfRule type="expression" dxfId="142" priority="73" stopIfTrue="1">
      <formula>IF($U293="AAA",TRUE,FALSE)</formula>
    </cfRule>
  </conditionalFormatting>
  <conditionalFormatting sqref="G16:G26 G2:G12 G30:G41">
    <cfRule type="cellIs" dxfId="141" priority="64" stopIfTrue="1" operator="lessThan">
      <formula>0</formula>
    </cfRule>
    <cfRule type="cellIs" dxfId="140" priority="65" stopIfTrue="1" operator="greaterThanOrEqual">
      <formula>#REF!</formula>
    </cfRule>
  </conditionalFormatting>
  <conditionalFormatting sqref="G16:G28 G2:G12">
    <cfRule type="cellIs" dxfId="139" priority="37" stopIfTrue="1" operator="lessThan">
      <formula>0</formula>
    </cfRule>
  </conditionalFormatting>
  <conditionalFormatting sqref="G16:G26 G2:G12 G30:G41">
    <cfRule type="cellIs" dxfId="138" priority="63" operator="greaterThan">
      <formula>#REF!</formula>
    </cfRule>
  </conditionalFormatting>
  <conditionalFormatting sqref="G43:G54 G56:G67 G30:G41">
    <cfRule type="cellIs" dxfId="137" priority="54" stopIfTrue="1" operator="lessThan">
      <formula>0</formula>
    </cfRule>
  </conditionalFormatting>
  <conditionalFormatting sqref="G43:G54">
    <cfRule type="cellIs" dxfId="136" priority="42" stopIfTrue="1" operator="lessThan">
      <formula>0</formula>
    </cfRule>
    <cfRule type="cellIs" dxfId="135" priority="43" operator="greaterThan">
      <formula>#REF!</formula>
    </cfRule>
    <cfRule type="cellIs" dxfId="134" priority="44" stopIfTrue="1" operator="lessThan">
      <formula>0</formula>
    </cfRule>
    <cfRule type="cellIs" dxfId="133" priority="45" stopIfTrue="1" operator="greaterThanOrEqual">
      <formula>#REF!</formula>
    </cfRule>
  </conditionalFormatting>
  <conditionalFormatting sqref="G53:G54">
    <cfRule type="cellIs" dxfId="132" priority="28" operator="greaterThan">
      <formula>#REF!</formula>
    </cfRule>
    <cfRule type="cellIs" dxfId="131" priority="29" stopIfTrue="1" operator="lessThan">
      <formula>0</formula>
    </cfRule>
    <cfRule type="cellIs" dxfId="130" priority="30" stopIfTrue="1" operator="greaterThanOrEqual">
      <formula>#REF!</formula>
    </cfRule>
  </conditionalFormatting>
  <conditionalFormatting sqref="G56:G67">
    <cfRule type="cellIs" dxfId="129" priority="55" operator="greaterThan">
      <formula>#REF!</formula>
    </cfRule>
    <cfRule type="cellIs" dxfId="128" priority="56" stopIfTrue="1" operator="lessThan">
      <formula>0</formula>
    </cfRule>
    <cfRule type="cellIs" dxfId="127" priority="57" stopIfTrue="1" operator="greaterThanOrEqual">
      <formula>#REF!</formula>
    </cfRule>
  </conditionalFormatting>
  <conditionalFormatting sqref="G69:G80">
    <cfRule type="cellIs" dxfId="126" priority="38" stopIfTrue="1" operator="lessThan">
      <formula>0</formula>
    </cfRule>
    <cfRule type="cellIs" dxfId="125" priority="39" operator="greaterThan">
      <formula>#REF!</formula>
    </cfRule>
    <cfRule type="cellIs" dxfId="124" priority="40" stopIfTrue="1" operator="lessThan">
      <formula>0</formula>
    </cfRule>
    <cfRule type="cellIs" dxfId="123" priority="41" stopIfTrue="1" operator="greaterThanOrEqual">
      <formula>#REF!</formula>
    </cfRule>
  </conditionalFormatting>
  <conditionalFormatting sqref="G82:G92">
    <cfRule type="cellIs" dxfId="122" priority="50" stopIfTrue="1" operator="lessThan">
      <formula>0</formula>
    </cfRule>
    <cfRule type="cellIs" dxfId="121" priority="51" operator="greaterThan">
      <formula>#REF!</formula>
    </cfRule>
    <cfRule type="cellIs" dxfId="120" priority="52" stopIfTrue="1" operator="lessThan">
      <formula>0</formula>
    </cfRule>
    <cfRule type="cellIs" dxfId="119" priority="53" stopIfTrue="1" operator="greaterThanOrEqual">
      <formula>#REF!</formula>
    </cfRule>
  </conditionalFormatting>
  <conditionalFormatting sqref="G96:G106">
    <cfRule type="cellIs" dxfId="118" priority="46" stopIfTrue="1" operator="lessThan">
      <formula>0</formula>
    </cfRule>
    <cfRule type="cellIs" dxfId="117" priority="47" operator="greaterThan">
      <formula>#REF!</formula>
    </cfRule>
    <cfRule type="cellIs" dxfId="116" priority="48" stopIfTrue="1" operator="lessThan">
      <formula>0</formula>
    </cfRule>
    <cfRule type="cellIs" dxfId="115" priority="49" stopIfTrue="1" operator="greaterThanOrEqual">
      <formula>#REF!</formula>
    </cfRule>
  </conditionalFormatting>
  <conditionalFormatting sqref="H81">
    <cfRule type="cellIs" dxfId="114" priority="27" operator="greaterThan">
      <formula>$H81</formula>
    </cfRule>
  </conditionalFormatting>
  <conditionalFormatting sqref="F67">
    <cfRule type="expression" dxfId="113" priority="83" stopIfTrue="1">
      <formula>IF(#REF!="AAA",TRUE,FALSE)</formula>
    </cfRule>
    <cfRule type="expression" dxfId="112" priority="84" stopIfTrue="1">
      <formula>IF($AK39="AAA",TRUE,FALSE)</formula>
    </cfRule>
    <cfRule type="expression" dxfId="111" priority="85" stopIfTrue="1">
      <formula>IF($T265="AAA",TRUE,FALSE)</formula>
    </cfRule>
    <cfRule type="expression" dxfId="110" priority="86" stopIfTrue="1">
      <formula>IF($U265="AAA",TRUE,FALSE)</formula>
    </cfRule>
  </conditionalFormatting>
  <conditionalFormatting sqref="F82">
    <cfRule type="expression" dxfId="109" priority="87" stopIfTrue="1">
      <formula>IF($AJ53="AAA",TRUE,FALSE)</formula>
    </cfRule>
    <cfRule type="expression" dxfId="108" priority="88" stopIfTrue="1">
      <formula>IF($T278="AAA",TRUE,FALSE)</formula>
    </cfRule>
    <cfRule type="expression" dxfId="107" priority="89" stopIfTrue="1">
      <formula>IF($U278="AAA",TRUE,FALSE)</formula>
    </cfRule>
  </conditionalFormatting>
  <conditionalFormatting sqref="F30:F39">
    <cfRule type="expression" dxfId="106" priority="13" stopIfTrue="1">
      <formula>IF(#REF!="AAA",TRUE,FALSE)</formula>
    </cfRule>
    <cfRule type="expression" dxfId="105" priority="14" stopIfTrue="1">
      <formula>IF($T228="AAA",TRUE,FALSE)</formula>
    </cfRule>
    <cfRule type="expression" dxfId="104" priority="15" stopIfTrue="1">
      <formula>IF($U228="AAA",TRUE,FALSE)</formula>
    </cfRule>
    <cfRule type="expression" dxfId="103" priority="16" stopIfTrue="1">
      <formula>IF($AN6="AAA",TRUE,FALSE)</formula>
    </cfRule>
    <cfRule type="expression" dxfId="102" priority="17" stopIfTrue="1">
      <formula>IF($T228="AAA",TRUE,FALSE)</formula>
    </cfRule>
    <cfRule type="expression" dxfId="101" priority="18" stopIfTrue="1">
      <formula>IF($U228="AAA",TRUE,FALSE)</formula>
    </cfRule>
  </conditionalFormatting>
  <conditionalFormatting sqref="F56:F65">
    <cfRule type="expression" dxfId="100" priority="7" stopIfTrue="1">
      <formula>IF(#REF!="AAA",TRUE,FALSE)</formula>
    </cfRule>
    <cfRule type="expression" dxfId="99" priority="8" stopIfTrue="1">
      <formula>IF($T255="AAA",TRUE,FALSE)</formula>
    </cfRule>
    <cfRule type="expression" dxfId="98" priority="9" stopIfTrue="1">
      <formula>IF($U255="AAA",TRUE,FALSE)</formula>
    </cfRule>
    <cfRule type="expression" dxfId="97" priority="10" stopIfTrue="1">
      <formula>IF($AN30="AAA",TRUE,FALSE)</formula>
    </cfRule>
    <cfRule type="expression" dxfId="96" priority="11" stopIfTrue="1">
      <formula>IF($T255="AAA",TRUE,FALSE)</formula>
    </cfRule>
    <cfRule type="expression" dxfId="95" priority="12" stopIfTrue="1">
      <formula>IF($U255="AAA",TRUE,FALSE)</formula>
    </cfRule>
  </conditionalFormatting>
  <conditionalFormatting sqref="F69:F78">
    <cfRule type="expression" dxfId="94" priority="1" stopIfTrue="1">
      <formula>IF(#REF!="AAA",TRUE,FALSE)</formula>
    </cfRule>
    <cfRule type="expression" dxfId="93" priority="2" stopIfTrue="1">
      <formula>IF($T268="AAA",TRUE,FALSE)</formula>
    </cfRule>
    <cfRule type="expression" dxfId="92" priority="3" stopIfTrue="1">
      <formula>IF($U268="AAA",TRUE,FALSE)</formula>
    </cfRule>
    <cfRule type="expression" dxfId="91" priority="4" stopIfTrue="1">
      <formula>IF($AN43="AAA",TRUE,FALSE)</formula>
    </cfRule>
    <cfRule type="expression" dxfId="90" priority="5" stopIfTrue="1">
      <formula>IF($T268="AAA",TRUE,FALSE)</formula>
    </cfRule>
    <cfRule type="expression" dxfId="89" priority="6" stopIfTrue="1">
      <formula>IF($U268="AAA",TRUE,FALSE)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workbookViewId="0">
      <selection sqref="A1:H109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 t="s">
        <v>53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54</v>
      </c>
      <c r="C2" s="9" t="s">
        <v>7</v>
      </c>
      <c r="D2" s="10" t="s">
        <v>55</v>
      </c>
      <c r="E2" s="11">
        <v>17.489999999999998</v>
      </c>
      <c r="F2" s="12">
        <v>15.56</v>
      </c>
      <c r="G2" s="13">
        <f>(F2/E2-1)</f>
        <v>-0.11034877072612914</v>
      </c>
      <c r="H2" s="14"/>
    </row>
    <row r="3" spans="1:8" ht="15" customHeight="1" thickBot="1" x14ac:dyDescent="0.45">
      <c r="A3" s="15">
        <v>2</v>
      </c>
      <c r="B3" s="9" t="s">
        <v>56</v>
      </c>
      <c r="C3" s="9" t="s">
        <v>7</v>
      </c>
      <c r="D3" s="10" t="s">
        <v>57</v>
      </c>
      <c r="E3" s="11">
        <v>25.26</v>
      </c>
      <c r="F3" s="12">
        <v>24.26</v>
      </c>
      <c r="G3" s="13">
        <f>(F3/E3-1)</f>
        <v>-3.9588281868566888E-2</v>
      </c>
      <c r="H3" s="6"/>
    </row>
    <row r="4" spans="1:8" ht="15" customHeight="1" thickBot="1" x14ac:dyDescent="0.45">
      <c r="A4" s="8">
        <v>3</v>
      </c>
      <c r="B4" s="9" t="s">
        <v>58</v>
      </c>
      <c r="C4" s="9" t="s">
        <v>11</v>
      </c>
      <c r="D4" s="10" t="s">
        <v>58</v>
      </c>
      <c r="E4" s="11">
        <v>12.35</v>
      </c>
      <c r="F4" s="12">
        <v>11.5</v>
      </c>
      <c r="G4" s="13">
        <f>(F4/E4-1)</f>
        <v>-6.8825910931174072E-2</v>
      </c>
      <c r="H4" s="6"/>
    </row>
    <row r="5" spans="1:8" ht="15" customHeight="1" thickBot="1" x14ac:dyDescent="0.45">
      <c r="A5" s="15">
        <v>4</v>
      </c>
      <c r="B5" s="9" t="s">
        <v>59</v>
      </c>
      <c r="C5" s="9" t="s">
        <v>7</v>
      </c>
      <c r="D5" s="10" t="s">
        <v>60</v>
      </c>
      <c r="E5" s="11">
        <v>8.27</v>
      </c>
      <c r="F5" s="12">
        <v>7.8049999999999997</v>
      </c>
      <c r="G5" s="13">
        <f>(F5/E5-1)</f>
        <v>-5.622732769044736E-2</v>
      </c>
      <c r="H5" s="6"/>
    </row>
    <row r="6" spans="1:8" ht="15" customHeight="1" thickBot="1" x14ac:dyDescent="0.45">
      <c r="A6" s="8">
        <v>5</v>
      </c>
      <c r="B6" s="9" t="s">
        <v>61</v>
      </c>
      <c r="C6" s="9" t="s">
        <v>7</v>
      </c>
      <c r="D6" s="10" t="s">
        <v>62</v>
      </c>
      <c r="E6" s="11">
        <v>60.65</v>
      </c>
      <c r="F6" s="12">
        <v>56</v>
      </c>
      <c r="G6" s="13">
        <f>(F6/E6-1)</f>
        <v>-7.6669414674361058E-2</v>
      </c>
      <c r="H6" s="6"/>
    </row>
    <row r="7" spans="1:8" ht="15" customHeight="1" thickBot="1" x14ac:dyDescent="0.45">
      <c r="A7" s="15">
        <v>6</v>
      </c>
      <c r="B7" s="9" t="s">
        <v>63</v>
      </c>
      <c r="C7" s="9" t="s">
        <v>11</v>
      </c>
      <c r="D7" s="10" t="s">
        <v>64</v>
      </c>
      <c r="E7" s="11">
        <v>1.915</v>
      </c>
      <c r="F7" s="12">
        <v>1.8049999999999999</v>
      </c>
      <c r="G7" s="13">
        <f>(F7/E7-1)</f>
        <v>-5.7441253263707637E-2</v>
      </c>
      <c r="H7" s="6"/>
    </row>
    <row r="8" spans="1:8" ht="15" customHeight="1" thickBot="1" x14ac:dyDescent="0.45">
      <c r="A8" s="8">
        <v>7</v>
      </c>
      <c r="B8" s="9" t="s">
        <v>10</v>
      </c>
      <c r="C8" s="9" t="s">
        <v>11</v>
      </c>
      <c r="D8" s="10" t="s">
        <v>12</v>
      </c>
      <c r="E8" s="11">
        <v>48.4</v>
      </c>
      <c r="F8" s="12">
        <v>50.2</v>
      </c>
      <c r="G8" s="13">
        <f>(F8/E8-1)</f>
        <v>3.7190082644628086E-2</v>
      </c>
      <c r="H8" s="6"/>
    </row>
    <row r="9" spans="1:8" ht="15" customHeight="1" thickBot="1" x14ac:dyDescent="0.45">
      <c r="A9" s="15">
        <v>8</v>
      </c>
      <c r="B9" s="9" t="s">
        <v>65</v>
      </c>
      <c r="C9" s="9" t="s">
        <v>7</v>
      </c>
      <c r="D9" s="10" t="s">
        <v>66</v>
      </c>
      <c r="E9" s="11">
        <v>3.65</v>
      </c>
      <c r="F9" s="12">
        <v>3.36</v>
      </c>
      <c r="G9" s="13">
        <f>(F9/E9-1)</f>
        <v>-7.9452054794520555E-2</v>
      </c>
      <c r="H9" s="6"/>
    </row>
    <row r="10" spans="1:8" ht="15" customHeight="1" thickBot="1" x14ac:dyDescent="0.45">
      <c r="A10" s="8">
        <v>9</v>
      </c>
      <c r="B10" s="9" t="s">
        <v>67</v>
      </c>
      <c r="C10" s="9" t="s">
        <v>11</v>
      </c>
      <c r="D10" s="10" t="s">
        <v>68</v>
      </c>
      <c r="E10" s="11">
        <v>103</v>
      </c>
      <c r="F10" s="12">
        <v>102</v>
      </c>
      <c r="G10" s="13">
        <f>(F10/E10-1)</f>
        <v>-9.7087378640776656E-3</v>
      </c>
      <c r="H10" s="6"/>
    </row>
    <row r="11" spans="1:8" ht="15" customHeight="1" thickBot="1" x14ac:dyDescent="0.45">
      <c r="A11" s="15">
        <v>10</v>
      </c>
      <c r="B11" s="9" t="s">
        <v>44</v>
      </c>
      <c r="C11" s="9" t="s">
        <v>11</v>
      </c>
      <c r="D11" s="10" t="s">
        <v>45</v>
      </c>
      <c r="E11" s="11">
        <v>34.5</v>
      </c>
      <c r="F11" s="12">
        <v>34.65</v>
      </c>
      <c r="G11" s="13">
        <f>(F11/E11-1)</f>
        <v>4.3478260869564966E-3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13</v>
      </c>
      <c r="G12" s="20">
        <v>-4.5672384308139982E-2</v>
      </c>
      <c r="H12" s="46" t="s">
        <v>14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15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16</v>
      </c>
    </row>
    <row r="16" spans="1:8" ht="15" customHeight="1" thickBot="1" x14ac:dyDescent="0.45">
      <c r="A16" s="8">
        <v>1</v>
      </c>
      <c r="B16" s="9" t="s">
        <v>69</v>
      </c>
      <c r="C16" s="9" t="s">
        <v>7</v>
      </c>
      <c r="D16" s="10" t="s">
        <v>70</v>
      </c>
      <c r="E16" s="22">
        <v>4.6399999999999997</v>
      </c>
      <c r="F16" s="12">
        <v>4.7249999999999996</v>
      </c>
      <c r="G16" s="13">
        <f>(F16/E16-1)</f>
        <v>1.8318965517241326E-2</v>
      </c>
      <c r="H16" s="47"/>
    </row>
    <row r="17" spans="1:8" ht="15" customHeight="1" thickBot="1" x14ac:dyDescent="0.45">
      <c r="A17" s="15">
        <v>2</v>
      </c>
      <c r="B17" s="9" t="s">
        <v>17</v>
      </c>
      <c r="C17" s="9" t="s">
        <v>7</v>
      </c>
      <c r="D17" s="10" t="s">
        <v>18</v>
      </c>
      <c r="E17" s="22">
        <v>5.2549999999999999</v>
      </c>
      <c r="F17" s="12">
        <v>4.7519999999999998</v>
      </c>
      <c r="G17" s="13">
        <f>(F17/E17-1)</f>
        <v>-9.5718363463368261E-2</v>
      </c>
      <c r="H17" s="6"/>
    </row>
    <row r="18" spans="1:8" ht="15" customHeight="1" thickBot="1" x14ac:dyDescent="0.45">
      <c r="A18" s="8">
        <v>3</v>
      </c>
      <c r="B18" s="9" t="s">
        <v>71</v>
      </c>
      <c r="C18" s="9" t="s">
        <v>7</v>
      </c>
      <c r="D18" s="10" t="s">
        <v>72</v>
      </c>
      <c r="E18" s="22">
        <v>4.1989999999999998</v>
      </c>
      <c r="F18" s="12">
        <v>4.13</v>
      </c>
      <c r="G18" s="13">
        <f>(F18/E18-1)</f>
        <v>-1.6432483924743946E-2</v>
      </c>
      <c r="H18" s="6"/>
    </row>
    <row r="19" spans="1:8" ht="15" customHeight="1" thickBot="1" x14ac:dyDescent="0.45">
      <c r="A19" s="15">
        <v>4</v>
      </c>
      <c r="B19" s="9" t="s">
        <v>73</v>
      </c>
      <c r="C19" s="9" t="s">
        <v>7</v>
      </c>
      <c r="D19" s="10" t="s">
        <v>74</v>
      </c>
      <c r="E19" s="22">
        <v>23.86</v>
      </c>
      <c r="F19" s="12">
        <v>22.1</v>
      </c>
      <c r="G19" s="13">
        <f>(F19/E19-1)</f>
        <v>-7.3763621123218659E-2</v>
      </c>
      <c r="H19" s="6"/>
    </row>
    <row r="20" spans="1:8" ht="15" customHeight="1" thickBot="1" x14ac:dyDescent="0.45">
      <c r="A20" s="8">
        <v>5</v>
      </c>
      <c r="B20" s="9" t="s">
        <v>19</v>
      </c>
      <c r="C20" s="9" t="s">
        <v>7</v>
      </c>
      <c r="D20" s="10" t="s">
        <v>20</v>
      </c>
      <c r="E20" s="22">
        <v>21</v>
      </c>
      <c r="F20" s="12">
        <v>14.48</v>
      </c>
      <c r="G20" s="13">
        <f>(F20/E20-1)</f>
        <v>-0.31047619047619046</v>
      </c>
      <c r="H20" s="6"/>
    </row>
    <row r="21" spans="1:8" ht="15" customHeight="1" thickBot="1" x14ac:dyDescent="0.45">
      <c r="A21" s="15">
        <v>6</v>
      </c>
      <c r="B21" s="9" t="s">
        <v>75</v>
      </c>
      <c r="C21" s="9" t="s">
        <v>7</v>
      </c>
      <c r="D21" s="10" t="s">
        <v>76</v>
      </c>
      <c r="E21" s="22">
        <v>0.51300000000000001</v>
      </c>
      <c r="F21" s="12">
        <v>0.45400000000000001</v>
      </c>
      <c r="G21" s="13">
        <f>(F21/E21-1)</f>
        <v>-0.1150097465886939</v>
      </c>
      <c r="H21" s="6"/>
    </row>
    <row r="22" spans="1:8" ht="15" customHeight="1" thickBot="1" x14ac:dyDescent="0.45">
      <c r="A22" s="8">
        <v>7</v>
      </c>
      <c r="B22" s="9" t="s">
        <v>77</v>
      </c>
      <c r="C22" s="9" t="s">
        <v>7</v>
      </c>
      <c r="D22" s="10" t="s">
        <v>78</v>
      </c>
      <c r="E22" s="22">
        <v>7.35</v>
      </c>
      <c r="F22" s="12">
        <v>7.27</v>
      </c>
      <c r="G22" s="13">
        <f>(F22/E22-1)</f>
        <v>-1.0884353741496655E-2</v>
      </c>
      <c r="H22" s="6"/>
    </row>
    <row r="23" spans="1:8" ht="15" customHeight="1" thickBot="1" x14ac:dyDescent="0.45">
      <c r="A23" s="15">
        <v>8</v>
      </c>
      <c r="B23" s="9" t="s">
        <v>79</v>
      </c>
      <c r="C23" s="9" t="s">
        <v>7</v>
      </c>
      <c r="D23" s="10" t="s">
        <v>80</v>
      </c>
      <c r="E23" s="22">
        <v>28.95</v>
      </c>
      <c r="F23" s="12">
        <v>29.25</v>
      </c>
      <c r="G23" s="13">
        <f>(F23/E23-1)</f>
        <v>1.0362694300518172E-2</v>
      </c>
      <c r="H23" s="6"/>
    </row>
    <row r="24" spans="1:8" ht="15" customHeight="1" thickBot="1" x14ac:dyDescent="0.45">
      <c r="A24" s="8">
        <v>9</v>
      </c>
      <c r="B24" s="9" t="s">
        <v>81</v>
      </c>
      <c r="C24" s="9" t="s">
        <v>7</v>
      </c>
      <c r="D24" s="10" t="s">
        <v>82</v>
      </c>
      <c r="E24" s="22">
        <v>50.7</v>
      </c>
      <c r="F24" s="12">
        <v>52.1</v>
      </c>
      <c r="G24" s="13">
        <f>(F24/E24-1)</f>
        <v>2.7613412228796763E-2</v>
      </c>
      <c r="H24" s="6"/>
    </row>
    <row r="25" spans="1:8" ht="15" customHeight="1" thickBot="1" x14ac:dyDescent="0.45">
      <c r="A25" s="15">
        <v>10</v>
      </c>
      <c r="B25" s="9" t="s">
        <v>83</v>
      </c>
      <c r="C25" s="9" t="s">
        <v>7</v>
      </c>
      <c r="D25" s="10" t="s">
        <v>83</v>
      </c>
      <c r="E25" s="22">
        <v>6.9000000000000006E-2</v>
      </c>
      <c r="F25" s="12">
        <v>5.8999999999999997E-2</v>
      </c>
      <c r="G25" s="13">
        <f>(F25/E25-1)</f>
        <v>-0.14492753623188415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13</v>
      </c>
      <c r="G26" s="24">
        <v>-7.1091722350303976E-2</v>
      </c>
      <c r="H26" s="46" t="s">
        <v>14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15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28</v>
      </c>
    </row>
    <row r="30" spans="1:8" ht="15" customHeight="1" thickBot="1" x14ac:dyDescent="0.45">
      <c r="A30" s="8">
        <v>1</v>
      </c>
      <c r="B30" s="7" t="s">
        <v>29</v>
      </c>
      <c r="C30" s="7" t="s">
        <v>30</v>
      </c>
      <c r="D30" s="51" t="s">
        <v>31</v>
      </c>
      <c r="E30" s="18">
        <v>5.69</v>
      </c>
      <c r="F30" s="12">
        <v>5.3440000000000003</v>
      </c>
      <c r="G30" s="13">
        <f>(F30/E30-1)</f>
        <v>-6.0808435852372611E-2</v>
      </c>
    </row>
    <row r="31" spans="1:8" ht="15" customHeight="1" thickBot="1" x14ac:dyDescent="0.45">
      <c r="A31" s="15">
        <v>2</v>
      </c>
      <c r="B31" s="7" t="s">
        <v>84</v>
      </c>
      <c r="C31" s="7" t="s">
        <v>30</v>
      </c>
      <c r="D31" s="51" t="s">
        <v>85</v>
      </c>
      <c r="E31" s="18">
        <v>0.114</v>
      </c>
      <c r="F31" s="12">
        <v>0.13</v>
      </c>
      <c r="G31" s="13">
        <f>(F31/E31-1)</f>
        <v>0.14035087719298245</v>
      </c>
    </row>
    <row r="32" spans="1:8" ht="15" customHeight="1" thickBot="1" x14ac:dyDescent="0.45">
      <c r="A32" s="8">
        <v>3</v>
      </c>
      <c r="B32" s="7" t="s">
        <v>38</v>
      </c>
      <c r="C32" s="7" t="s">
        <v>39</v>
      </c>
      <c r="D32" s="51" t="s">
        <v>40</v>
      </c>
      <c r="E32" s="18">
        <v>8.7999999999999995E-2</v>
      </c>
      <c r="F32" s="12">
        <v>8.8999999999999996E-2</v>
      </c>
      <c r="G32" s="13">
        <f>(F32/E32-1)</f>
        <v>1.1363636363636465E-2</v>
      </c>
    </row>
    <row r="33" spans="1:8" ht="15" customHeight="1" thickBot="1" x14ac:dyDescent="0.45">
      <c r="A33" s="15">
        <v>4</v>
      </c>
      <c r="B33" s="7" t="s">
        <v>32</v>
      </c>
      <c r="C33" s="7" t="s">
        <v>30</v>
      </c>
      <c r="D33" s="51" t="s">
        <v>33</v>
      </c>
      <c r="E33" s="18">
        <v>3.92</v>
      </c>
      <c r="F33" s="12">
        <v>4.26</v>
      </c>
      <c r="G33" s="13">
        <f>(F33/E33-1)</f>
        <v>8.6734693877551061E-2</v>
      </c>
    </row>
    <row r="34" spans="1:8" ht="15" customHeight="1" thickBot="1" x14ac:dyDescent="0.45">
      <c r="A34" s="8">
        <v>5</v>
      </c>
      <c r="B34" s="7" t="s">
        <v>86</v>
      </c>
      <c r="C34" s="7" t="s">
        <v>39</v>
      </c>
      <c r="D34" s="51" t="s">
        <v>87</v>
      </c>
      <c r="E34" s="18">
        <v>21.8</v>
      </c>
      <c r="F34" s="12">
        <v>17.55</v>
      </c>
      <c r="G34" s="13">
        <f>(F34/E34-1)</f>
        <v>-0.19495412844036697</v>
      </c>
    </row>
    <row r="35" spans="1:8" ht="15" customHeight="1" thickBot="1" x14ac:dyDescent="0.45">
      <c r="A35" s="15">
        <v>6</v>
      </c>
      <c r="B35" s="7" t="s">
        <v>88</v>
      </c>
      <c r="C35" s="7" t="s">
        <v>30</v>
      </c>
      <c r="D35" s="51" t="s">
        <v>89</v>
      </c>
      <c r="E35" s="18">
        <v>1.1399999999999999</v>
      </c>
      <c r="F35" s="12">
        <v>0.9</v>
      </c>
      <c r="G35" s="13">
        <f>(F35/E35-1)</f>
        <v>-0.21052631578947356</v>
      </c>
    </row>
    <row r="36" spans="1:8" ht="15" customHeight="1" thickBot="1" x14ac:dyDescent="0.45">
      <c r="A36" s="8">
        <v>7</v>
      </c>
      <c r="B36" s="7" t="s">
        <v>90</v>
      </c>
      <c r="C36" s="7" t="s">
        <v>30</v>
      </c>
      <c r="D36" s="51" t="s">
        <v>91</v>
      </c>
      <c r="E36" s="18">
        <v>4.88</v>
      </c>
      <c r="F36" s="12">
        <v>4.7699999999999996</v>
      </c>
      <c r="G36" s="13">
        <f>(F36/E36-1)</f>
        <v>-2.254098360655743E-2</v>
      </c>
    </row>
    <row r="37" spans="1:8" ht="15" customHeight="1" thickBot="1" x14ac:dyDescent="0.45">
      <c r="A37" s="15">
        <v>8</v>
      </c>
      <c r="B37" s="7" t="s">
        <v>92</v>
      </c>
      <c r="C37" s="7" t="s">
        <v>30</v>
      </c>
      <c r="D37" s="51" t="s">
        <v>93</v>
      </c>
      <c r="E37" s="18">
        <v>2.98</v>
      </c>
      <c r="F37" s="12">
        <v>2.5249999999999999</v>
      </c>
      <c r="G37" s="13">
        <f>(F37/E37-1)</f>
        <v>-0.15268456375838924</v>
      </c>
    </row>
    <row r="38" spans="1:8" ht="15" customHeight="1" thickBot="1" x14ac:dyDescent="0.45">
      <c r="A38" s="8">
        <v>9</v>
      </c>
      <c r="B38" s="7" t="s">
        <v>94</v>
      </c>
      <c r="C38" s="7" t="s">
        <v>39</v>
      </c>
      <c r="D38" s="51" t="s">
        <v>95</v>
      </c>
      <c r="E38" s="18">
        <v>5.12</v>
      </c>
      <c r="F38" s="12">
        <v>4.93</v>
      </c>
      <c r="G38" s="13">
        <f>(F38/E38-1)</f>
        <v>-3.7109375000000111E-2</v>
      </c>
    </row>
    <row r="39" spans="1:8" ht="15" customHeight="1" thickBot="1" x14ac:dyDescent="0.45">
      <c r="A39" s="15">
        <v>10</v>
      </c>
      <c r="B39" s="7" t="s">
        <v>36</v>
      </c>
      <c r="C39" s="7" t="s">
        <v>30</v>
      </c>
      <c r="D39" s="51" t="s">
        <v>37</v>
      </c>
      <c r="E39" s="18">
        <v>0.13500000000000001</v>
      </c>
      <c r="F39" s="12">
        <v>0.125</v>
      </c>
      <c r="G39" s="13">
        <f>(F39/E39-1)</f>
        <v>-7.4074074074074181E-2</v>
      </c>
    </row>
    <row r="40" spans="1:8" ht="15.45" customHeight="1" thickBot="1" x14ac:dyDescent="0.45">
      <c r="A40" s="15"/>
      <c r="B40" s="27"/>
      <c r="C40" s="16"/>
      <c r="D40" s="17"/>
      <c r="F40" s="28" t="s">
        <v>13</v>
      </c>
      <c r="G40" s="29">
        <v>-5.1424866908706415E-2</v>
      </c>
      <c r="H40" s="46" t="s">
        <v>14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15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41</v>
      </c>
    </row>
    <row r="43" spans="1:8" ht="15" customHeight="1" thickBot="1" x14ac:dyDescent="0.45">
      <c r="A43" s="8">
        <v>1</v>
      </c>
      <c r="B43" s="9" t="s">
        <v>59</v>
      </c>
      <c r="C43" s="9" t="s">
        <v>7</v>
      </c>
      <c r="D43" s="10" t="s">
        <v>60</v>
      </c>
      <c r="E43" s="11">
        <v>8.27</v>
      </c>
      <c r="F43" s="12">
        <v>7.8049999999999997</v>
      </c>
      <c r="G43" s="13">
        <f>(F43/E43-1)</f>
        <v>-5.622732769044736E-2</v>
      </c>
    </row>
    <row r="44" spans="1:8" ht="15" customHeight="1" thickBot="1" x14ac:dyDescent="0.45">
      <c r="A44" s="15">
        <v>2</v>
      </c>
      <c r="B44" s="9" t="s">
        <v>10</v>
      </c>
      <c r="C44" s="9" t="s">
        <v>11</v>
      </c>
      <c r="D44" s="10" t="s">
        <v>12</v>
      </c>
      <c r="E44" s="11">
        <v>48.4</v>
      </c>
      <c r="F44" s="12">
        <v>50.2</v>
      </c>
      <c r="G44" s="13">
        <f>(F44/E44-1)</f>
        <v>3.7190082644628086E-2</v>
      </c>
    </row>
    <row r="45" spans="1:8" ht="15" customHeight="1" thickBot="1" x14ac:dyDescent="0.45">
      <c r="A45" s="8">
        <v>3</v>
      </c>
      <c r="B45" s="9" t="s">
        <v>58</v>
      </c>
      <c r="C45" s="9" t="s">
        <v>11</v>
      </c>
      <c r="D45" s="10" t="s">
        <v>58</v>
      </c>
      <c r="E45" s="11">
        <v>12.35</v>
      </c>
      <c r="F45" s="12">
        <v>11.5</v>
      </c>
      <c r="G45" s="13">
        <f>(F45/E45-1)</f>
        <v>-6.8825910931174072E-2</v>
      </c>
    </row>
    <row r="46" spans="1:8" ht="15" customHeight="1" thickBot="1" x14ac:dyDescent="0.45">
      <c r="A46" s="15">
        <v>4</v>
      </c>
      <c r="B46" s="9" t="s">
        <v>96</v>
      </c>
      <c r="C46" s="9" t="s">
        <v>7</v>
      </c>
      <c r="D46" s="10" t="s">
        <v>97</v>
      </c>
      <c r="E46" s="11">
        <v>97.52</v>
      </c>
      <c r="F46" s="12">
        <v>95.26</v>
      </c>
      <c r="G46" s="13">
        <f>(F46/E46-1)</f>
        <v>-2.3174733388022895E-2</v>
      </c>
    </row>
    <row r="47" spans="1:8" ht="15" customHeight="1" thickBot="1" x14ac:dyDescent="0.45">
      <c r="A47" s="8">
        <v>5</v>
      </c>
      <c r="B47" s="9" t="s">
        <v>67</v>
      </c>
      <c r="C47" s="9" t="s">
        <v>11</v>
      </c>
      <c r="D47" s="10" t="s">
        <v>68</v>
      </c>
      <c r="E47" s="11">
        <v>103</v>
      </c>
      <c r="F47" s="12">
        <v>102</v>
      </c>
      <c r="G47" s="13">
        <f>(F47/E47-1)</f>
        <v>-9.7087378640776656E-3</v>
      </c>
    </row>
    <row r="48" spans="1:8" ht="15" customHeight="1" thickBot="1" x14ac:dyDescent="0.45">
      <c r="A48" s="15">
        <v>6</v>
      </c>
      <c r="B48" s="9" t="s">
        <v>98</v>
      </c>
      <c r="C48" s="9" t="s">
        <v>11</v>
      </c>
      <c r="D48" s="10" t="s">
        <v>99</v>
      </c>
      <c r="E48" s="11">
        <v>9.18</v>
      </c>
      <c r="F48" s="12">
        <v>8.74</v>
      </c>
      <c r="G48" s="13">
        <f>(F48/E48-1)</f>
        <v>-4.7930283224400849E-2</v>
      </c>
    </row>
    <row r="49" spans="1:8" ht="15" customHeight="1" thickBot="1" x14ac:dyDescent="0.45">
      <c r="A49" s="8">
        <v>7</v>
      </c>
      <c r="B49" s="9" t="s">
        <v>61</v>
      </c>
      <c r="C49" s="9" t="s">
        <v>7</v>
      </c>
      <c r="D49" s="10" t="s">
        <v>62</v>
      </c>
      <c r="E49" s="11">
        <v>60.65</v>
      </c>
      <c r="F49" s="12">
        <v>56</v>
      </c>
      <c r="G49" s="13">
        <f>(F49/E49-1)</f>
        <v>-7.6669414674361058E-2</v>
      </c>
    </row>
    <row r="50" spans="1:8" ht="15" customHeight="1" thickBot="1" x14ac:dyDescent="0.45">
      <c r="A50" s="15">
        <v>8</v>
      </c>
      <c r="B50" s="9" t="s">
        <v>63</v>
      </c>
      <c r="C50" s="9" t="s">
        <v>11</v>
      </c>
      <c r="D50" s="10" t="s">
        <v>64</v>
      </c>
      <c r="E50" s="11">
        <v>1.915</v>
      </c>
      <c r="F50" s="12">
        <v>1.8049999999999999</v>
      </c>
      <c r="G50" s="13">
        <f>(F50/E50-1)</f>
        <v>-5.7441253263707637E-2</v>
      </c>
    </row>
    <row r="51" spans="1:8" ht="15" customHeight="1" thickBot="1" x14ac:dyDescent="0.45">
      <c r="A51" s="8">
        <v>9</v>
      </c>
      <c r="B51" s="9" t="s">
        <v>65</v>
      </c>
      <c r="C51" s="9" t="s">
        <v>7</v>
      </c>
      <c r="D51" s="10" t="s">
        <v>66</v>
      </c>
      <c r="E51" s="11">
        <v>3.65</v>
      </c>
      <c r="F51" s="12">
        <v>3.36</v>
      </c>
      <c r="G51" s="13">
        <f>(F51/E51-1)</f>
        <v>-7.9452054794520555E-2</v>
      </c>
    </row>
    <row r="52" spans="1:8" ht="15" customHeight="1" thickBot="1" x14ac:dyDescent="0.45">
      <c r="A52" s="15">
        <v>10</v>
      </c>
      <c r="B52" s="9" t="s">
        <v>56</v>
      </c>
      <c r="C52" s="9" t="s">
        <v>7</v>
      </c>
      <c r="D52" s="10" t="s">
        <v>57</v>
      </c>
      <c r="E52" s="11">
        <v>25.26</v>
      </c>
      <c r="F52" s="12">
        <v>24.26</v>
      </c>
      <c r="G52" s="13">
        <f>(F52/E52-1)</f>
        <v>-3.9588281868566888E-2</v>
      </c>
    </row>
    <row r="53" spans="1:8" ht="15.45" customHeight="1" thickBot="1" x14ac:dyDescent="0.45">
      <c r="A53" s="15"/>
      <c r="B53" s="7"/>
      <c r="C53" s="16"/>
      <c r="D53" s="17"/>
      <c r="F53" s="28" t="s">
        <v>13</v>
      </c>
      <c r="G53" s="34">
        <v>-4.2182791505465091E-2</v>
      </c>
      <c r="H53" s="46" t="s">
        <v>14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15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46</v>
      </c>
    </row>
    <row r="56" spans="1:8" ht="15" customHeight="1" thickBot="1" x14ac:dyDescent="0.45">
      <c r="A56" s="8">
        <v>1</v>
      </c>
      <c r="B56" s="36" t="s">
        <v>158</v>
      </c>
      <c r="C56" s="30" t="s">
        <v>7</v>
      </c>
      <c r="D56" s="36" t="s">
        <v>159</v>
      </c>
      <c r="E56" s="18">
        <v>79.319999999999993</v>
      </c>
      <c r="F56" s="12">
        <v>75.42</v>
      </c>
      <c r="G56" s="37">
        <f>(F56/E56-1)</f>
        <v>-4.9167927382753329E-2</v>
      </c>
      <c r="H56" s="6"/>
    </row>
    <row r="57" spans="1:8" ht="15" customHeight="1" thickBot="1" x14ac:dyDescent="0.45">
      <c r="A57" s="15">
        <v>2</v>
      </c>
      <c r="B57" s="36" t="s">
        <v>144</v>
      </c>
      <c r="C57" s="30" t="s">
        <v>7</v>
      </c>
      <c r="D57" s="36" t="s">
        <v>145</v>
      </c>
      <c r="E57" s="18">
        <v>76.44</v>
      </c>
      <c r="F57" s="12">
        <v>76.52</v>
      </c>
      <c r="G57" s="37">
        <f>(F57/E57-1)</f>
        <v>1.0465724751438366E-3</v>
      </c>
      <c r="H57" s="6"/>
    </row>
    <row r="58" spans="1:8" ht="15" customHeight="1" thickBot="1" x14ac:dyDescent="0.45">
      <c r="A58" s="8">
        <v>3</v>
      </c>
      <c r="B58" s="36" t="s">
        <v>54</v>
      </c>
      <c r="C58" s="30" t="s">
        <v>7</v>
      </c>
      <c r="D58" s="36" t="s">
        <v>55</v>
      </c>
      <c r="E58" s="18">
        <v>17.489999999999998</v>
      </c>
      <c r="F58" s="12">
        <v>15.56</v>
      </c>
      <c r="G58" s="37">
        <f>(F58/E58-1)</f>
        <v>-0.11034877072612914</v>
      </c>
      <c r="H58" s="6"/>
    </row>
    <row r="59" spans="1:8" ht="15" customHeight="1" thickBot="1" x14ac:dyDescent="0.45">
      <c r="A59" s="15">
        <v>4</v>
      </c>
      <c r="B59" s="36" t="s">
        <v>59</v>
      </c>
      <c r="C59" s="30" t="s">
        <v>7</v>
      </c>
      <c r="D59" s="36" t="s">
        <v>60</v>
      </c>
      <c r="E59" s="18">
        <v>8.27</v>
      </c>
      <c r="F59" s="12">
        <v>7.8049999999999997</v>
      </c>
      <c r="G59" s="37">
        <f>(F59/E59-1)</f>
        <v>-5.622732769044736E-2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13</v>
      </c>
      <c r="G66" s="34" t="e">
        <v>#VALUE!</v>
      </c>
      <c r="H66" s="48" t="s">
        <v>14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15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47</v>
      </c>
    </row>
    <row r="69" spans="1:8" ht="15" customHeight="1" thickBot="1" x14ac:dyDescent="0.45">
      <c r="A69" s="8">
        <v>1</v>
      </c>
      <c r="B69" s="36" t="s">
        <v>158</v>
      </c>
      <c r="C69" s="30" t="s">
        <v>7</v>
      </c>
      <c r="D69" s="36" t="s">
        <v>159</v>
      </c>
      <c r="E69" s="18">
        <v>79.319999999999993</v>
      </c>
      <c r="F69" s="12">
        <v>75.42</v>
      </c>
      <c r="G69" s="37">
        <f>(F69/E69-1)</f>
        <v>-4.9167927382753329E-2</v>
      </c>
      <c r="H69" s="6"/>
    </row>
    <row r="70" spans="1:8" ht="15" customHeight="1" thickBot="1" x14ac:dyDescent="0.45">
      <c r="A70" s="15">
        <v>2</v>
      </c>
      <c r="B70" s="36" t="s">
        <v>59</v>
      </c>
      <c r="C70" s="30" t="s">
        <v>7</v>
      </c>
      <c r="D70" s="36" t="s">
        <v>60</v>
      </c>
      <c r="E70" s="18">
        <v>8.27</v>
      </c>
      <c r="F70" s="12">
        <v>7.8049999999999997</v>
      </c>
      <c r="G70" s="37">
        <f>(F70/E70-1)</f>
        <v>-5.622732769044736E-2</v>
      </c>
      <c r="H70" s="6"/>
    </row>
    <row r="71" spans="1:8" ht="15" customHeight="1" thickBot="1" x14ac:dyDescent="0.45">
      <c r="A71" s="8">
        <v>3</v>
      </c>
      <c r="B71" s="36" t="s">
        <v>144</v>
      </c>
      <c r="C71" s="30" t="s">
        <v>7</v>
      </c>
      <c r="D71" s="36" t="s">
        <v>145</v>
      </c>
      <c r="E71" s="18">
        <v>76.44</v>
      </c>
      <c r="F71" s="12">
        <v>76.52</v>
      </c>
      <c r="G71" s="37">
        <f>(F71/E71-1)</f>
        <v>1.0465724751438366E-3</v>
      </c>
      <c r="H71" s="6"/>
    </row>
    <row r="72" spans="1:8" ht="15" customHeight="1" thickBot="1" x14ac:dyDescent="0.45">
      <c r="A72" s="15">
        <v>4</v>
      </c>
      <c r="B72" s="36" t="s">
        <v>54</v>
      </c>
      <c r="C72" s="30" t="s">
        <v>7</v>
      </c>
      <c r="D72" s="36" t="s">
        <v>55</v>
      </c>
      <c r="E72" s="18">
        <v>17.489999999999998</v>
      </c>
      <c r="F72" s="12">
        <v>15.56</v>
      </c>
      <c r="G72" s="37">
        <f>(F72/E72-1)</f>
        <v>-0.11034877072612914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13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15</v>
      </c>
      <c r="B81" s="41" t="s">
        <v>48</v>
      </c>
      <c r="C81" t="s">
        <v>49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2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13</v>
      </c>
      <c r="G92" s="34" t="e">
        <v>#VALUE!</v>
      </c>
    </row>
    <row r="93" spans="1:8" x14ac:dyDescent="0.4">
      <c r="B93" s="14"/>
      <c r="F93" s="6"/>
      <c r="H93" s="48" t="s">
        <v>14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15</v>
      </c>
      <c r="B95" s="41" t="s">
        <v>50</v>
      </c>
      <c r="C95" t="s">
        <v>49</v>
      </c>
      <c r="D95" s="43" t="s">
        <v>51</v>
      </c>
      <c r="E95" s="3" t="s">
        <v>3</v>
      </c>
      <c r="F95" s="4" t="s">
        <v>4</v>
      </c>
      <c r="G95" s="5" t="s">
        <v>5</v>
      </c>
      <c r="H95" s="45" t="s">
        <v>52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13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14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14</v>
      </c>
    </row>
  </sheetData>
  <conditionalFormatting sqref="B56:B65">
    <cfRule type="expression" dxfId="88" priority="22" stopIfTrue="1">
      <formula>IF(AO56&gt;0,TRUE,FALSE)</formula>
    </cfRule>
  </conditionalFormatting>
  <conditionalFormatting sqref="B69:B78">
    <cfRule type="expression" dxfId="87" priority="20" stopIfTrue="1">
      <formula>IF(AO69&gt;0,TRUE,FALSE)</formula>
    </cfRule>
  </conditionalFormatting>
  <conditionalFormatting sqref="B81">
    <cfRule type="expression" dxfId="86" priority="62" stopIfTrue="1">
      <formula>IF(AN62&gt;0,TRUE,FALSE)</formula>
    </cfRule>
  </conditionalFormatting>
  <conditionalFormatting sqref="B82:B91">
    <cfRule type="expression" dxfId="85" priority="26" stopIfTrue="1">
      <formula>IF(AL82&gt;0,TRUE,FALSE)</formula>
    </cfRule>
  </conditionalFormatting>
  <conditionalFormatting sqref="B92">
    <cfRule type="expression" dxfId="84" priority="58" stopIfTrue="1">
      <formula>IF(AL91&gt;0,TRUE,FALSE)</formula>
    </cfRule>
  </conditionalFormatting>
  <conditionalFormatting sqref="B95">
    <cfRule type="expression" dxfId="83" priority="61" stopIfTrue="1">
      <formula>IF(AN75&gt;0,TRUE,FALSE)</formula>
    </cfRule>
  </conditionalFormatting>
  <conditionalFormatting sqref="B96:B105">
    <cfRule type="expression" dxfId="82" priority="24" stopIfTrue="1">
      <formula>IF(AO96&gt;0,TRUE,FALSE)</formula>
    </cfRule>
  </conditionalFormatting>
  <conditionalFormatting sqref="B106">
    <cfRule type="expression" dxfId="81" priority="59" stopIfTrue="1">
      <formula>IF(AN104&gt;0,TRUE,FALSE)</formula>
    </cfRule>
  </conditionalFormatting>
  <conditionalFormatting sqref="B107">
    <cfRule type="expression" dxfId="80" priority="60" stopIfTrue="1">
      <formula>IF(AN104&gt;0,TRUE,FALSE)</formula>
    </cfRule>
  </conditionalFormatting>
  <conditionalFormatting sqref="D56:D65">
    <cfRule type="expression" dxfId="79" priority="21" stopIfTrue="1">
      <formula>IF(AQ56&gt;0,TRUE,FALSE)</formula>
    </cfRule>
  </conditionalFormatting>
  <conditionalFormatting sqref="D69:D78">
    <cfRule type="expression" dxfId="78" priority="19" stopIfTrue="1">
      <formula>IF(AQ69&gt;0,TRUE,FALSE)</formula>
    </cfRule>
  </conditionalFormatting>
  <conditionalFormatting sqref="D82:D91">
    <cfRule type="expression" dxfId="77" priority="25" stopIfTrue="1">
      <formula>IF(AN82&gt;0,TRUE,FALSE)</formula>
    </cfRule>
  </conditionalFormatting>
  <conditionalFormatting sqref="D96:D105">
    <cfRule type="expression" dxfId="76" priority="23" stopIfTrue="1">
      <formula>IF(AQ96&gt;0,TRUE,FALSE)</formula>
    </cfRule>
  </conditionalFormatting>
  <conditionalFormatting sqref="F2:F11 F16:F25">
    <cfRule type="expression" dxfId="75" priority="31" stopIfTrue="1">
      <formula>IF(#REF!="AAA",TRUE,FALSE)</formula>
    </cfRule>
    <cfRule type="expression" dxfId="74" priority="32" stopIfTrue="1">
      <formula>IF($T200="AAA",TRUE,FALSE)</formula>
    </cfRule>
    <cfRule type="expression" dxfId="73" priority="33" stopIfTrue="1">
      <formula>IF($U200="AAA",TRUE,FALSE)</formula>
    </cfRule>
    <cfRule type="expression" dxfId="72" priority="34" stopIfTrue="1">
      <formula>IF($AN1048554="AAA",TRUE,FALSE)</formula>
    </cfRule>
    <cfRule type="expression" dxfId="71" priority="35" stopIfTrue="1">
      <formula>IF($T200="AAA",TRUE,FALSE)</formula>
    </cfRule>
    <cfRule type="expression" dxfId="70" priority="36" stopIfTrue="1">
      <formula>IF($U200="AAA",TRUE,FALSE)</formula>
    </cfRule>
  </conditionalFormatting>
  <conditionalFormatting sqref="F43:F52">
    <cfRule type="expression" dxfId="69" priority="77" stopIfTrue="1">
      <formula>IF(#REF!="AAA",TRUE,FALSE)</formula>
    </cfRule>
    <cfRule type="expression" dxfId="68" priority="78" stopIfTrue="1">
      <formula>IF($T242="AAA",TRUE,FALSE)</formula>
    </cfRule>
    <cfRule type="expression" dxfId="67" priority="79" stopIfTrue="1">
      <formula>IF($U242="AAA",TRUE,FALSE)</formula>
    </cfRule>
    <cfRule type="expression" dxfId="66" priority="80" stopIfTrue="1">
      <formula>IF($AN17="AAA",TRUE,FALSE)</formula>
    </cfRule>
    <cfRule type="expression" dxfId="65" priority="81" stopIfTrue="1">
      <formula>IF($T242="AAA",TRUE,FALSE)</formula>
    </cfRule>
    <cfRule type="expression" dxfId="64" priority="82" stopIfTrue="1">
      <formula>IF($U242="AAA",TRUE,FALSE)</formula>
    </cfRule>
  </conditionalFormatting>
  <conditionalFormatting sqref="F82:F91">
    <cfRule type="expression" dxfId="63" priority="66" stopIfTrue="1">
      <formula>IF(#REF!="AAA",TRUE,FALSE)</formula>
    </cfRule>
  </conditionalFormatting>
  <conditionalFormatting sqref="F83:F91">
    <cfRule type="expression" dxfId="62" priority="67" stopIfTrue="1">
      <formula>IF($AN55="AAA",TRUE,FALSE)</formula>
    </cfRule>
    <cfRule type="expression" dxfId="61" priority="68" stopIfTrue="1">
      <formula>IF($T279="AAA",TRUE,FALSE)</formula>
    </cfRule>
    <cfRule type="expression" dxfId="60" priority="69" stopIfTrue="1">
      <formula>IF($U279="AAA",TRUE,FALSE)</formula>
    </cfRule>
  </conditionalFormatting>
  <conditionalFormatting sqref="F96:F97">
    <cfRule type="expression" dxfId="59" priority="74" stopIfTrue="1">
      <formula>IF($AN65="AAA",TRUE,FALSE)</formula>
    </cfRule>
    <cfRule type="expression" dxfId="58" priority="75" stopIfTrue="1">
      <formula>IF($T291="AAA",TRUE,FALSE)</formula>
    </cfRule>
    <cfRule type="expression" dxfId="57" priority="76" stopIfTrue="1">
      <formula>IF($U291="AAA",TRUE,FALSE)</formula>
    </cfRule>
  </conditionalFormatting>
  <conditionalFormatting sqref="F96:F106">
    <cfRule type="expression" dxfId="56" priority="70" stopIfTrue="1">
      <formula>IF(#REF!="AAA",TRUE,FALSE)</formula>
    </cfRule>
  </conditionalFormatting>
  <conditionalFormatting sqref="F98:F106">
    <cfRule type="expression" dxfId="55" priority="71" stopIfTrue="1">
      <formula>IF($AN68="AAA",TRUE,FALSE)</formula>
    </cfRule>
    <cfRule type="expression" dxfId="54" priority="72" stopIfTrue="1">
      <formula>IF($T293="AAA",TRUE,FALSE)</formula>
    </cfRule>
    <cfRule type="expression" dxfId="53" priority="73" stopIfTrue="1">
      <formula>IF($U293="AAA",TRUE,FALSE)</formula>
    </cfRule>
  </conditionalFormatting>
  <conditionalFormatting sqref="G16:G26 G2:G12 G30:G41">
    <cfRule type="cellIs" dxfId="52" priority="64" stopIfTrue="1" operator="lessThan">
      <formula>0</formula>
    </cfRule>
    <cfRule type="cellIs" dxfId="51" priority="65" stopIfTrue="1" operator="greaterThanOrEqual">
      <formula>#REF!</formula>
    </cfRule>
  </conditionalFormatting>
  <conditionalFormatting sqref="G16:G28 G2:G12">
    <cfRule type="cellIs" dxfId="50" priority="37" stopIfTrue="1" operator="lessThan">
      <formula>0</formula>
    </cfRule>
  </conditionalFormatting>
  <conditionalFormatting sqref="G16:G26 G2:G12 G30:G41">
    <cfRule type="cellIs" dxfId="49" priority="63" operator="greaterThan">
      <formula>#REF!</formula>
    </cfRule>
  </conditionalFormatting>
  <conditionalFormatting sqref="G43:G54 G56:G67 G30:G41">
    <cfRule type="cellIs" dxfId="48" priority="54" stopIfTrue="1" operator="lessThan">
      <formula>0</formula>
    </cfRule>
  </conditionalFormatting>
  <conditionalFormatting sqref="G43:G54">
    <cfRule type="cellIs" dxfId="47" priority="42" stopIfTrue="1" operator="lessThan">
      <formula>0</formula>
    </cfRule>
    <cfRule type="cellIs" dxfId="46" priority="43" operator="greaterThan">
      <formula>#REF!</formula>
    </cfRule>
    <cfRule type="cellIs" dxfId="45" priority="44" stopIfTrue="1" operator="lessThan">
      <formula>0</formula>
    </cfRule>
    <cfRule type="cellIs" dxfId="44" priority="45" stopIfTrue="1" operator="greaterThanOrEqual">
      <formula>#REF!</formula>
    </cfRule>
  </conditionalFormatting>
  <conditionalFormatting sqref="G53:G54">
    <cfRule type="cellIs" dxfId="43" priority="28" operator="greaterThan">
      <formula>#REF!</formula>
    </cfRule>
    <cfRule type="cellIs" dxfId="42" priority="29" stopIfTrue="1" operator="lessThan">
      <formula>0</formula>
    </cfRule>
    <cfRule type="cellIs" dxfId="41" priority="30" stopIfTrue="1" operator="greaterThanOrEqual">
      <formula>#REF!</formula>
    </cfRule>
  </conditionalFormatting>
  <conditionalFormatting sqref="G56:G67">
    <cfRule type="cellIs" dxfId="40" priority="55" operator="greaterThan">
      <formula>#REF!</formula>
    </cfRule>
    <cfRule type="cellIs" dxfId="39" priority="56" stopIfTrue="1" operator="lessThan">
      <formula>0</formula>
    </cfRule>
    <cfRule type="cellIs" dxfId="38" priority="57" stopIfTrue="1" operator="greaterThanOrEqual">
      <formula>#REF!</formula>
    </cfRule>
  </conditionalFormatting>
  <conditionalFormatting sqref="G69:G80">
    <cfRule type="cellIs" dxfId="37" priority="38" stopIfTrue="1" operator="lessThan">
      <formula>0</formula>
    </cfRule>
    <cfRule type="cellIs" dxfId="36" priority="39" operator="greaterThan">
      <formula>#REF!</formula>
    </cfRule>
    <cfRule type="cellIs" dxfId="35" priority="40" stopIfTrue="1" operator="lessThan">
      <formula>0</formula>
    </cfRule>
    <cfRule type="cellIs" dxfId="34" priority="41" stopIfTrue="1" operator="greaterThanOrEqual">
      <formula>#REF!</formula>
    </cfRule>
  </conditionalFormatting>
  <conditionalFormatting sqref="G82:G92">
    <cfRule type="cellIs" dxfId="33" priority="50" stopIfTrue="1" operator="lessThan">
      <formula>0</formula>
    </cfRule>
    <cfRule type="cellIs" dxfId="32" priority="51" operator="greaterThan">
      <formula>#REF!</formula>
    </cfRule>
    <cfRule type="cellIs" dxfId="31" priority="52" stopIfTrue="1" operator="lessThan">
      <formula>0</formula>
    </cfRule>
    <cfRule type="cellIs" dxfId="30" priority="53" stopIfTrue="1" operator="greaterThanOrEqual">
      <formula>#REF!</formula>
    </cfRule>
  </conditionalFormatting>
  <conditionalFormatting sqref="G96:G106">
    <cfRule type="cellIs" dxfId="29" priority="46" stopIfTrue="1" operator="lessThan">
      <formula>0</formula>
    </cfRule>
    <cfRule type="cellIs" dxfId="28" priority="47" operator="greaterThan">
      <formula>#REF!</formula>
    </cfRule>
    <cfRule type="cellIs" dxfId="27" priority="48" stopIfTrue="1" operator="lessThan">
      <formula>0</formula>
    </cfRule>
    <cfRule type="cellIs" dxfId="26" priority="49" stopIfTrue="1" operator="greaterThanOrEqual">
      <formula>#REF!</formula>
    </cfRule>
  </conditionalFormatting>
  <conditionalFormatting sqref="H81">
    <cfRule type="cellIs" dxfId="25" priority="27" operator="greaterThan">
      <formula>$H81</formula>
    </cfRule>
  </conditionalFormatting>
  <conditionalFormatting sqref="F67">
    <cfRule type="expression" dxfId="24" priority="83" stopIfTrue="1">
      <formula>IF(#REF!="AAA",TRUE,FALSE)</formula>
    </cfRule>
    <cfRule type="expression" dxfId="23" priority="84" stopIfTrue="1">
      <formula>IF($AK39="AAA",TRUE,FALSE)</formula>
    </cfRule>
    <cfRule type="expression" dxfId="22" priority="85" stopIfTrue="1">
      <formula>IF($T265="AAA",TRUE,FALSE)</formula>
    </cfRule>
    <cfRule type="expression" dxfId="21" priority="86" stopIfTrue="1">
      <formula>IF($U265="AAA",TRUE,FALSE)</formula>
    </cfRule>
  </conditionalFormatting>
  <conditionalFormatting sqref="F82">
    <cfRule type="expression" dxfId="20" priority="87" stopIfTrue="1">
      <formula>IF($AJ53="AAA",TRUE,FALSE)</formula>
    </cfRule>
    <cfRule type="expression" dxfId="19" priority="88" stopIfTrue="1">
      <formula>IF($T278="AAA",TRUE,FALSE)</formula>
    </cfRule>
    <cfRule type="expression" dxfId="18" priority="89" stopIfTrue="1">
      <formula>IF($U278="AAA",TRUE,FALSE)</formula>
    </cfRule>
  </conditionalFormatting>
  <conditionalFormatting sqref="F56:F65">
    <cfRule type="expression" dxfId="17" priority="13" stopIfTrue="1">
      <formula>IF(#REF!="AAA",TRUE,FALSE)</formula>
    </cfRule>
    <cfRule type="expression" dxfId="16" priority="14" stopIfTrue="1">
      <formula>IF($T255="AAA",TRUE,FALSE)</formula>
    </cfRule>
    <cfRule type="expression" dxfId="15" priority="15" stopIfTrue="1">
      <formula>IF($U255="AAA",TRUE,FALSE)</formula>
    </cfRule>
    <cfRule type="expression" dxfId="14" priority="16" stopIfTrue="1">
      <formula>IF($AN30="AAA",TRUE,FALSE)</formula>
    </cfRule>
    <cfRule type="expression" dxfId="13" priority="17" stopIfTrue="1">
      <formula>IF($T255="AAA",TRUE,FALSE)</formula>
    </cfRule>
    <cfRule type="expression" dxfId="12" priority="18" stopIfTrue="1">
      <formula>IF($U255="AAA",TRUE,FALSE)</formula>
    </cfRule>
  </conditionalFormatting>
  <conditionalFormatting sqref="F69:F78">
    <cfRule type="expression" dxfId="11" priority="7" stopIfTrue="1">
      <formula>IF(#REF!="AAA",TRUE,FALSE)</formula>
    </cfRule>
    <cfRule type="expression" dxfId="10" priority="8" stopIfTrue="1">
      <formula>IF($T268="AAA",TRUE,FALSE)</formula>
    </cfRule>
    <cfRule type="expression" dxfId="9" priority="9" stopIfTrue="1">
      <formula>IF($U268="AAA",TRUE,FALSE)</formula>
    </cfRule>
    <cfRule type="expression" dxfId="8" priority="10" stopIfTrue="1">
      <formula>IF($AN43="AAA",TRUE,FALSE)</formula>
    </cfRule>
    <cfRule type="expression" dxfId="7" priority="11" stopIfTrue="1">
      <formula>IF($T268="AAA",TRUE,FALSE)</formula>
    </cfRule>
    <cfRule type="expression" dxfId="6" priority="12" stopIfTrue="1">
      <formula>IF($U268="AAA",TRUE,FALSE)</formula>
    </cfRule>
  </conditionalFormatting>
  <conditionalFormatting sqref="F30:F39">
    <cfRule type="expression" dxfId="5" priority="1" stopIfTrue="1">
      <formula>IF(#REF!="AAA",TRUE,FALSE)</formula>
    </cfRule>
    <cfRule type="expression" dxfId="4" priority="2" stopIfTrue="1">
      <formula>IF($T228="AAA",TRUE,FALSE)</formula>
    </cfRule>
    <cfRule type="expression" dxfId="3" priority="3" stopIfTrue="1">
      <formula>IF($U228="AAA",TRUE,FALSE)</formula>
    </cfRule>
    <cfRule type="expression" dxfId="2" priority="4" stopIfTrue="1">
      <formula>IF($AN6="AAA",TRUE,FALSE)</formula>
    </cfRule>
    <cfRule type="expression" dxfId="1" priority="5" stopIfTrue="1">
      <formula>IF($T228="AAA",TRUE,FALSE)</formula>
    </cfRule>
    <cfRule type="expression" dxfId="0" priority="6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2026-10-07T17:41:10Z</dcterms:modified>
</cp:coreProperties>
</file>
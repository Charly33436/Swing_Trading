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9399DB9F-69C1-4F57-846F-47F33913793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2" l="1"/>
  <c r="G77" i="2"/>
  <c r="G76" i="2"/>
  <c r="G75" i="2"/>
  <c r="G74" i="2"/>
  <c r="G73" i="2"/>
  <c r="G72" i="2"/>
  <c r="G71" i="2"/>
  <c r="G70" i="2"/>
  <c r="G69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5" i="1"/>
  <c r="G64" i="1"/>
  <c r="G63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<sst xmlns="http://schemas.openxmlformats.org/spreadsheetml/2006/main" count="396" uniqueCount="156">
  <si>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</si>
  <si>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</si>
  <si>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</si>
  <si>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</si>
  <si>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</si>
  <si>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</si>
  <si>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</si>
  <si>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RCO</t>
  </si>
  <si>
    <t>SRD</t>
  </si>
  <si>
    <t>REMY COINTREAU</t>
  </si>
  <si>
    <t>BAIN</t>
  </si>
  <si>
    <t>BAINS MER MONACO</t>
  </si>
  <si>
    <t>DEC</t>
  </si>
  <si>
    <t>JCDECAUX</t>
  </si>
  <si>
    <t>ATE</t>
  </si>
  <si>
    <t>ALTEN</t>
  </si>
  <si>
    <t>PUB</t>
  </si>
  <si>
    <t>PUBLICIS GRP</t>
  </si>
  <si>
    <t>ENX</t>
  </si>
  <si>
    <t>EURONEXT</t>
  </si>
  <si>
    <t>SW</t>
  </si>
  <si>
    <t>SODEXO</t>
  </si>
  <si>
    <t>EDEN</t>
  </si>
  <si>
    <t>EDENRED</t>
  </si>
  <si>
    <t>TTE</t>
  </si>
  <si>
    <t>TOTALENERGIES</t>
  </si>
  <si>
    <t>Moyenne</t>
  </si>
  <si>
    <t>nb &gt; 0</t>
  </si>
  <si>
    <t xml:space="preserve"> </t>
  </si>
  <si>
    <t>Les valeurs qui baissent 📉 avec des volumes 👎:</t>
  </si>
  <si>
    <t>ATO</t>
  </si>
  <si>
    <t>ATOS</t>
  </si>
  <si>
    <t>FDE</t>
  </si>
  <si>
    <t>FRANCAISE ENER</t>
  </si>
  <si>
    <t>EQS</t>
  </si>
  <si>
    <t>EQUASENS</t>
  </si>
  <si>
    <t>ETL</t>
  </si>
  <si>
    <t>EUTELSAT COMMUNICATION</t>
  </si>
  <si>
    <t>B</t>
  </si>
  <si>
    <t>Les Smallcaps qui montent 📈 avec des volumes 👍:</t>
  </si>
  <si>
    <t>ALCWE</t>
  </si>
  <si>
    <t>EG</t>
  </si>
  <si>
    <t>CHARWOOD ENERGY</t>
  </si>
  <si>
    <t>ALIMP</t>
  </si>
  <si>
    <t>IMPLANET</t>
  </si>
  <si>
    <t>AVT</t>
  </si>
  <si>
    <t>C</t>
  </si>
  <si>
    <t>AVENIR TELECOM</t>
  </si>
  <si>
    <t>ALINS</t>
  </si>
  <si>
    <t>INTRASENSE</t>
  </si>
  <si>
    <t>Les valeurs de confiance pour le LT👍:</t>
  </si>
  <si>
    <t>Conseil+</t>
  </si>
  <si>
    <t xml:space="preserve">Etoiles </t>
  </si>
  <si>
    <t>IPS</t>
  </si>
  <si>
    <t>IPSOS</t>
  </si>
  <si>
    <t>QDT</t>
  </si>
  <si>
    <t>QUADIENT</t>
  </si>
  <si>
    <t>MAU</t>
  </si>
  <si>
    <t>MAUREL ET PROM</t>
  </si>
  <si>
    <t>ITP</t>
  </si>
  <si>
    <t>INTER PARFUMS</t>
  </si>
  <si>
    <t>VIRP</t>
  </si>
  <si>
    <t>VIRBAC</t>
  </si>
  <si>
    <t>Décote</t>
  </si>
  <si>
    <t>Colonne2</t>
  </si>
  <si>
    <t>Etoiles Small</t>
  </si>
  <si>
    <t>Colonne3</t>
  </si>
  <si>
    <t>Confiance Small</t>
  </si>
  <si>
    <t>EC</t>
  </si>
  <si>
    <t>TOTAL GABON</t>
  </si>
  <si>
    <t>S30</t>
  </si>
  <si>
    <t>SOLUTIONS 30</t>
  </si>
  <si>
    <t>VANTI</t>
  </si>
  <si>
    <t>VANTIVA</t>
  </si>
  <si>
    <t>ALATI</t>
  </si>
  <si>
    <t>ACTIA GROUP</t>
  </si>
  <si>
    <t>PLNW</t>
  </si>
  <si>
    <t>PLANISWARE</t>
  </si>
  <si>
    <t>LIN</t>
  </si>
  <si>
    <t>LINEDATA</t>
  </si>
  <si>
    <t>GLO</t>
  </si>
  <si>
    <t>GL EVENTS</t>
  </si>
  <si>
    <t>VIE</t>
  </si>
  <si>
    <t>VEOLIA ENVIRONNEMENT</t>
  </si>
  <si>
    <t>COTY</t>
  </si>
  <si>
    <t>DKUPL</t>
  </si>
  <si>
    <t>DEKUPLE</t>
  </si>
  <si>
    <t>CDI</t>
  </si>
  <si>
    <t>CHRISTIAN DIOR</t>
  </si>
  <si>
    <t>ABNX</t>
  </si>
  <si>
    <t>ABIONYX PHARMA</t>
  </si>
  <si>
    <t>GBT</t>
  </si>
  <si>
    <t>GUERBET</t>
  </si>
  <si>
    <t>VCT</t>
  </si>
  <si>
    <t>VICAT</t>
  </si>
  <si>
    <t>EXA</t>
  </si>
  <si>
    <t>EXAIL TECH</t>
  </si>
  <si>
    <t>GNFT</t>
  </si>
  <si>
    <t>GENFIT</t>
  </si>
  <si>
    <t>SMCP</t>
  </si>
  <si>
    <t>ALWTR</t>
  </si>
  <si>
    <t>WATERA</t>
  </si>
  <si>
    <t>ALAVI</t>
  </si>
  <si>
    <t>ADVINI</t>
  </si>
  <si>
    <t>ALWEC</t>
  </si>
  <si>
    <t>WE.CONNECT</t>
  </si>
  <si>
    <t>ALAGO</t>
  </si>
  <si>
    <t>E-PANGO</t>
  </si>
  <si>
    <t>ALECO</t>
  </si>
  <si>
    <t>ECOMIAM</t>
  </si>
  <si>
    <t>ALPRG</t>
  </si>
  <si>
    <t>PROLOGUE</t>
  </si>
  <si>
    <t>WAGA</t>
  </si>
  <si>
    <t>WAGA ENERGY</t>
  </si>
  <si>
    <t>ALJXR</t>
  </si>
  <si>
    <t xml:space="preserve">ARCHOS          </t>
  </si>
  <si>
    <t>ALLIX</t>
  </si>
  <si>
    <t>WALLIX GROUP</t>
  </si>
  <si>
    <t>PLX</t>
  </si>
  <si>
    <t>PLUXEE</t>
  </si>
  <si>
    <t>SK</t>
  </si>
  <si>
    <t>SEB</t>
  </si>
  <si>
    <t>CAP</t>
  </si>
  <si>
    <t>CAP GEMINI</t>
  </si>
  <si>
    <t>VRLA</t>
  </si>
  <si>
    <t>VERALLIA</t>
  </si>
  <si>
    <t>VK</t>
  </si>
  <si>
    <t>VALLOUREC</t>
  </si>
  <si>
    <t>VIV</t>
  </si>
  <si>
    <t xml:space="preserve">VIVENDI </t>
  </si>
  <si>
    <t>GTT</t>
  </si>
  <si>
    <t>GAZTRANS TECHN</t>
  </si>
  <si>
    <t>OPM</t>
  </si>
  <si>
    <t>OPMOBILITY</t>
  </si>
  <si>
    <t>OSE</t>
  </si>
  <si>
    <t>OSE IMMUNO</t>
  </si>
  <si>
    <t>TFF</t>
  </si>
  <si>
    <t>TFF GROUP</t>
  </si>
  <si>
    <t>ICAD</t>
  </si>
  <si>
    <t>ICADE</t>
  </si>
  <si>
    <t>ALICA</t>
  </si>
  <si>
    <t>ICAP HOLDING</t>
  </si>
  <si>
    <t>ALINV</t>
  </si>
  <si>
    <t>INVIBES ADVERTISING</t>
  </si>
  <si>
    <t>ALESE</t>
  </si>
  <si>
    <t>ENTECH</t>
  </si>
  <si>
    <t>ALDNX</t>
  </si>
  <si>
    <t>DNXCORP</t>
  </si>
  <si>
    <t>ALMDT</t>
  </si>
  <si>
    <t>MEDIAN TECHNOLOGIES</t>
  </si>
  <si>
    <t>ALCBX</t>
  </si>
  <si>
    <t>CIBOX INTERACTIVE</t>
  </si>
  <si>
    <t>DIM</t>
  </si>
  <si>
    <t>SARTORIUS STED</t>
  </si>
  <si>
    <t>VETO</t>
  </si>
  <si>
    <t>VETOQUINOL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</si>
</sst>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_-* #,##0.00\ [$€-1]_-;\-* #,##0.00\ [$€-1]_-;_-* &quot;-&quot;??\ [$€-1]_-;_-@_-"/>
    <numFmt numFmtId="166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  <xf numFmtId="166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7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B4E7F539-FD25-45D5-8FD3-13F82AD8FD7F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BB24CF3D-DE35-49F5-A89A-301C05D57A00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E343E0B2-2644-45FD-9BB7-76BDAA3479FE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>
        <v>46311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7</v>
      </c>
      <c r="C2" s="9" t="s">
        <v>8</v>
      </c>
      <c r="D2" s="10" t="s">
        <v>9</v>
      </c>
      <c r="E2" s="11">
        <v>51.55</v>
      </c>
      <c r="F2" s="12">
        <v>51.55</v>
      </c>
      <c r="G2" s="13">
        <f>(F2/E2-1)</f>
        <v>0</v>
      </c>
      <c r="H2" s="14"/>
    </row>
    <row r="3" spans="1:8" ht="15" customHeight="1" thickBot="1" x14ac:dyDescent="0.45">
      <c r="A3" s="15">
        <v>2</v>
      </c>
      <c r="B3" s="9" t="s">
        <v>12</v>
      </c>
      <c r="C3" s="9" t="s">
        <v>8</v>
      </c>
      <c r="D3" s="10" t="s">
        <v>13</v>
      </c>
      <c r="E3" s="11">
        <v>25.86</v>
      </c>
      <c r="F3" s="12">
        <v>25.86</v>
      </c>
      <c r="G3" s="13">
        <f>(F3/E3-1)</f>
        <v>0</v>
      </c>
      <c r="H3" s="6"/>
    </row>
    <row r="4" spans="1:8" ht="15" customHeight="1" thickBot="1" x14ac:dyDescent="0.45">
      <c r="A4" s="8">
        <v>3</v>
      </c>
      <c r="B4" s="9" t="s">
        <v>36</v>
      </c>
      <c r="C4" s="9" t="s">
        <v>8</v>
      </c>
      <c r="D4" s="10" t="s">
        <v>37</v>
      </c>
      <c r="E4" s="11">
        <v>1.766</v>
      </c>
      <c r="F4" s="12">
        <v>1.766</v>
      </c>
      <c r="G4" s="13">
        <f>(F4/E4-1)</f>
        <v>0</v>
      </c>
      <c r="H4" s="6"/>
    </row>
    <row r="5" spans="1:8" ht="15" customHeight="1" thickBot="1" x14ac:dyDescent="0.45">
      <c r="A5" s="15">
        <v>4</v>
      </c>
      <c r="B5" s="9" t="s">
        <v>80</v>
      </c>
      <c r="C5" s="9" t="s">
        <v>8</v>
      </c>
      <c r="D5" s="10" t="s">
        <v>81</v>
      </c>
      <c r="E5" s="11">
        <v>31.4</v>
      </c>
      <c r="F5" s="12">
        <v>31.4</v>
      </c>
      <c r="G5" s="13">
        <f>(F5/E5-1)</f>
        <v>0</v>
      </c>
      <c r="H5" s="6"/>
    </row>
    <row r="6" spans="1:8" ht="15" customHeight="1" thickBot="1" x14ac:dyDescent="0.45">
      <c r="A6" s="8">
        <v>5</v>
      </c>
      <c r="B6" s="9" t="s">
        <v>20</v>
      </c>
      <c r="C6" s="9" t="s">
        <v>8</v>
      </c>
      <c r="D6" s="10" t="s">
        <v>21</v>
      </c>
      <c r="E6" s="11">
        <v>56.35</v>
      </c>
      <c r="F6" s="12">
        <v>56.35</v>
      </c>
      <c r="G6" s="13">
        <f>(F6/E6-1)</f>
        <v>0</v>
      </c>
      <c r="H6" s="6"/>
    </row>
    <row r="7" spans="1:8" ht="15" customHeight="1" thickBot="1" x14ac:dyDescent="0.45">
      <c r="A7" s="15">
        <v>6</v>
      </c>
      <c r="B7" s="9" t="s">
        <v>18</v>
      </c>
      <c r="C7" s="9" t="s">
        <v>8</v>
      </c>
      <c r="D7" s="10" t="s">
        <v>19</v>
      </c>
      <c r="E7" s="11">
        <v>167.2</v>
      </c>
      <c r="F7" s="12">
        <v>167.2</v>
      </c>
      <c r="G7" s="13">
        <f>(F7/E7-1)</f>
        <v>0</v>
      </c>
      <c r="H7" s="6"/>
    </row>
    <row r="8" spans="1:8" ht="15" customHeight="1" thickBot="1" x14ac:dyDescent="0.45">
      <c r="A8" s="8">
        <v>7</v>
      </c>
      <c r="B8" s="9" t="s">
        <v>24</v>
      </c>
      <c r="C8" s="9" t="s">
        <v>8</v>
      </c>
      <c r="D8" s="10" t="s">
        <v>25</v>
      </c>
      <c r="E8" s="11">
        <v>80.709999999999994</v>
      </c>
      <c r="F8" s="12">
        <v>80.709999999999994</v>
      </c>
      <c r="G8" s="13">
        <f>(F8/E8-1)</f>
        <v>0</v>
      </c>
      <c r="H8" s="6"/>
    </row>
    <row r="9" spans="1:8" ht="15" customHeight="1" thickBot="1" x14ac:dyDescent="0.45">
      <c r="A9" s="15">
        <v>8</v>
      </c>
      <c r="B9" s="9" t="s">
        <v>82</v>
      </c>
      <c r="C9" s="9" t="s">
        <v>8</v>
      </c>
      <c r="D9" s="10" t="s">
        <v>83</v>
      </c>
      <c r="E9" s="11">
        <v>32.4</v>
      </c>
      <c r="F9" s="12">
        <v>32.4</v>
      </c>
      <c r="G9" s="13">
        <f>(F9/E9-1)</f>
        <v>0</v>
      </c>
      <c r="H9" s="6"/>
    </row>
    <row r="10" spans="1:8" ht="15" customHeight="1" thickBot="1" x14ac:dyDescent="0.45">
      <c r="A10" s="8">
        <v>9</v>
      </c>
      <c r="B10" s="9" t="s">
        <v>72</v>
      </c>
      <c r="C10" s="9" t="s">
        <v>38</v>
      </c>
      <c r="D10" s="10" t="s">
        <v>73</v>
      </c>
      <c r="E10" s="11">
        <v>8.2000000000000003E-2</v>
      </c>
      <c r="F10" s="12">
        <v>8.2000000000000003E-2</v>
      </c>
      <c r="G10" s="13">
        <f>(F10/E10-1)</f>
        <v>0</v>
      </c>
      <c r="H10" s="6"/>
    </row>
    <row r="11" spans="1:8" ht="15" customHeight="1" thickBot="1" x14ac:dyDescent="0.45">
      <c r="A11" s="15">
        <v>10</v>
      </c>
      <c r="B11" s="9" t="s">
        <v>84</v>
      </c>
      <c r="C11" s="9" t="s">
        <v>8</v>
      </c>
      <c r="D11" s="10" t="s">
        <v>84</v>
      </c>
      <c r="E11" s="11">
        <v>2.88</v>
      </c>
      <c r="F11" s="12">
        <v>2.88</v>
      </c>
      <c r="G11" s="13">
        <f>(F11/E11-1)</f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26</v>
      </c>
      <c r="G12" s="20">
        <v>0</v>
      </c>
      <c r="H12" s="46" t="s">
        <v>27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28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29</v>
      </c>
    </row>
    <row r="16" spans="1:8" ht="15" customHeight="1" thickBot="1" x14ac:dyDescent="0.45">
      <c r="A16" s="8">
        <v>1</v>
      </c>
      <c r="B16" s="9" t="s">
        <v>32</v>
      </c>
      <c r="C16" s="9" t="s">
        <v>8</v>
      </c>
      <c r="D16" s="10" t="s">
        <v>33</v>
      </c>
      <c r="E16" s="22">
        <v>14.52</v>
      </c>
      <c r="F16" s="12">
        <v>14.52</v>
      </c>
      <c r="G16" s="13">
        <f>(F16/E16-1)</f>
        <v>0</v>
      </c>
      <c r="H16" s="47"/>
    </row>
    <row r="17" spans="1:8" ht="15" customHeight="1" thickBot="1" x14ac:dyDescent="0.45">
      <c r="A17" s="15">
        <v>2</v>
      </c>
      <c r="B17" s="9" t="s">
        <v>85</v>
      </c>
      <c r="C17" s="9" t="s">
        <v>38</v>
      </c>
      <c r="D17" s="10" t="s">
        <v>86</v>
      </c>
      <c r="E17" s="22">
        <v>21.6</v>
      </c>
      <c r="F17" s="12">
        <v>21.6</v>
      </c>
      <c r="G17" s="13">
        <f>(F17/E17-1)</f>
        <v>0</v>
      </c>
      <c r="H17" s="6"/>
    </row>
    <row r="18" spans="1:8" ht="15" customHeight="1" thickBot="1" x14ac:dyDescent="0.45">
      <c r="A18" s="8">
        <v>3</v>
      </c>
      <c r="B18" s="9" t="s">
        <v>87</v>
      </c>
      <c r="C18" s="9" t="s">
        <v>8</v>
      </c>
      <c r="D18" s="10" t="s">
        <v>88</v>
      </c>
      <c r="E18" s="22">
        <v>433.2</v>
      </c>
      <c r="F18" s="12">
        <v>433.2</v>
      </c>
      <c r="G18" s="13">
        <f>(F18/E18-1)</f>
        <v>0</v>
      </c>
      <c r="H18" s="6"/>
    </row>
    <row r="19" spans="1:8" ht="15" customHeight="1" thickBot="1" x14ac:dyDescent="0.45">
      <c r="A19" s="15">
        <v>4</v>
      </c>
      <c r="B19" s="9" t="s">
        <v>89</v>
      </c>
      <c r="C19" s="9" t="s">
        <v>8</v>
      </c>
      <c r="D19" s="10" t="s">
        <v>90</v>
      </c>
      <c r="E19" s="22">
        <v>1.546</v>
      </c>
      <c r="F19" s="12">
        <v>1.546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91</v>
      </c>
      <c r="C20" s="9" t="s">
        <v>8</v>
      </c>
      <c r="D20" s="10" t="s">
        <v>92</v>
      </c>
      <c r="E20" s="22">
        <v>6.12</v>
      </c>
      <c r="F20" s="12">
        <v>6.12</v>
      </c>
      <c r="G20" s="13">
        <f>(F20/E20-1)</f>
        <v>0</v>
      </c>
      <c r="H20" s="6"/>
    </row>
    <row r="21" spans="1:8" ht="15" customHeight="1" thickBot="1" x14ac:dyDescent="0.45">
      <c r="A21" s="15">
        <v>6</v>
      </c>
      <c r="B21" s="9" t="s">
        <v>34</v>
      </c>
      <c r="C21" s="9" t="s">
        <v>8</v>
      </c>
      <c r="D21" s="10" t="s">
        <v>35</v>
      </c>
      <c r="E21" s="22">
        <v>28.55</v>
      </c>
      <c r="F21" s="12">
        <v>28.55</v>
      </c>
      <c r="G21" s="13">
        <f>(F21/E21-1)</f>
        <v>0</v>
      </c>
      <c r="H21" s="6"/>
    </row>
    <row r="22" spans="1:8" ht="15" customHeight="1" thickBot="1" x14ac:dyDescent="0.45">
      <c r="A22" s="8">
        <v>7</v>
      </c>
      <c r="B22" s="9" t="s">
        <v>93</v>
      </c>
      <c r="C22" s="9" t="s">
        <v>8</v>
      </c>
      <c r="D22" s="10" t="s">
        <v>94</v>
      </c>
      <c r="E22" s="22">
        <v>59</v>
      </c>
      <c r="F22" s="12">
        <v>59</v>
      </c>
      <c r="G22" s="13">
        <f>(F22/E22-1)</f>
        <v>0</v>
      </c>
      <c r="H22" s="6"/>
    </row>
    <row r="23" spans="1:8" ht="15" customHeight="1" thickBot="1" x14ac:dyDescent="0.45">
      <c r="A23" s="15">
        <v>8</v>
      </c>
      <c r="B23" s="9" t="s">
        <v>95</v>
      </c>
      <c r="C23" s="9" t="s">
        <v>8</v>
      </c>
      <c r="D23" s="10" t="s">
        <v>96</v>
      </c>
      <c r="E23" s="22">
        <v>125.6</v>
      </c>
      <c r="F23" s="12">
        <v>125.6</v>
      </c>
      <c r="G23" s="13">
        <f>(F23/E23-1)</f>
        <v>0</v>
      </c>
      <c r="H23" s="6"/>
    </row>
    <row r="24" spans="1:8" ht="15" customHeight="1" thickBot="1" x14ac:dyDescent="0.45">
      <c r="A24" s="8">
        <v>9</v>
      </c>
      <c r="B24" s="9" t="s">
        <v>97</v>
      </c>
      <c r="C24" s="9" t="s">
        <v>8</v>
      </c>
      <c r="D24" s="10" t="s">
        <v>98</v>
      </c>
      <c r="E24" s="22">
        <v>8.4</v>
      </c>
      <c r="F24" s="12">
        <v>8.4</v>
      </c>
      <c r="G24" s="13">
        <f>(F24/E24-1)</f>
        <v>0</v>
      </c>
      <c r="H24" s="6"/>
    </row>
    <row r="25" spans="1:8" ht="15" customHeight="1" thickBot="1" x14ac:dyDescent="0.45">
      <c r="A25" s="15">
        <v>10</v>
      </c>
      <c r="B25" s="9" t="s">
        <v>99</v>
      </c>
      <c r="C25" s="9" t="s">
        <v>8</v>
      </c>
      <c r="D25" s="10" t="s">
        <v>99</v>
      </c>
      <c r="E25" s="22">
        <v>5.75</v>
      </c>
      <c r="F25" s="12">
        <v>5.75</v>
      </c>
      <c r="G25" s="13">
        <f>(F25/E25-1)</f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26</v>
      </c>
      <c r="G26" s="24">
        <v>0</v>
      </c>
      <c r="H26" s="46" t="s">
        <v>27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28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39</v>
      </c>
    </row>
    <row r="30" spans="1:8" ht="15" customHeight="1" thickBot="1" x14ac:dyDescent="0.45">
      <c r="A30" s="8">
        <v>1</v>
      </c>
      <c r="B30" s="7" t="s">
        <v>100</v>
      </c>
      <c r="C30" s="7" t="s">
        <v>41</v>
      </c>
      <c r="D30" s="51" t="s">
        <v>101</v>
      </c>
      <c r="E30" s="18">
        <v>1.0349999999999999</v>
      </c>
      <c r="F30" s="12">
        <v>1.0349999999999999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102</v>
      </c>
      <c r="C31" s="7" t="s">
        <v>41</v>
      </c>
      <c r="D31" s="51" t="s">
        <v>103</v>
      </c>
      <c r="E31" s="18">
        <v>15.8</v>
      </c>
      <c r="F31" s="12">
        <v>15.8</v>
      </c>
      <c r="G31" s="13">
        <f>(F31/E31-1)</f>
        <v>0</v>
      </c>
    </row>
    <row r="32" spans="1:8" ht="15" customHeight="1" thickBot="1" x14ac:dyDescent="0.45">
      <c r="A32" s="8">
        <v>3</v>
      </c>
      <c r="B32" s="7" t="s">
        <v>104</v>
      </c>
      <c r="C32" s="7" t="s">
        <v>41</v>
      </c>
      <c r="D32" s="51" t="s">
        <v>105</v>
      </c>
      <c r="E32" s="18">
        <v>24.8</v>
      </c>
      <c r="F32" s="12">
        <v>24.8</v>
      </c>
      <c r="G32" s="13">
        <f>(F32/E32-1)</f>
        <v>0</v>
      </c>
    </row>
    <row r="33" spans="1:8" ht="15" customHeight="1" thickBot="1" x14ac:dyDescent="0.45">
      <c r="A33" s="15">
        <v>4</v>
      </c>
      <c r="B33" s="7" t="s">
        <v>74</v>
      </c>
      <c r="C33" s="7" t="s">
        <v>46</v>
      </c>
      <c r="D33" s="51" t="s">
        <v>75</v>
      </c>
      <c r="E33" s="18">
        <v>3.92</v>
      </c>
      <c r="F33" s="12">
        <v>3.92</v>
      </c>
      <c r="G33" s="13">
        <f>(F33/E33-1)</f>
        <v>0</v>
      </c>
    </row>
    <row r="34" spans="1:8" ht="15" customHeight="1" thickBot="1" x14ac:dyDescent="0.45">
      <c r="A34" s="8">
        <v>5</v>
      </c>
      <c r="B34" s="7" t="s">
        <v>106</v>
      </c>
      <c r="C34" s="7" t="s">
        <v>41</v>
      </c>
      <c r="D34" s="51" t="s">
        <v>107</v>
      </c>
      <c r="E34" s="18">
        <v>0.16200000000000001</v>
      </c>
      <c r="F34" s="12">
        <v>0.16200000000000001</v>
      </c>
      <c r="G34" s="13">
        <f>(F34/E34-1)</f>
        <v>0</v>
      </c>
    </row>
    <row r="35" spans="1:8" ht="15" customHeight="1" thickBot="1" x14ac:dyDescent="0.45">
      <c r="A35" s="15">
        <v>6</v>
      </c>
      <c r="B35" s="7" t="s">
        <v>108</v>
      </c>
      <c r="C35" s="7" t="s">
        <v>41</v>
      </c>
      <c r="D35" s="51" t="s">
        <v>109</v>
      </c>
      <c r="E35" s="18">
        <v>2.04</v>
      </c>
      <c r="F35" s="12">
        <v>2.04</v>
      </c>
      <c r="G35" s="13">
        <f>(F35/E35-1)</f>
        <v>0</v>
      </c>
    </row>
    <row r="36" spans="1:8" ht="15" customHeight="1" thickBot="1" x14ac:dyDescent="0.45">
      <c r="A36" s="8">
        <v>7</v>
      </c>
      <c r="B36" s="7" t="s">
        <v>110</v>
      </c>
      <c r="C36" s="7" t="s">
        <v>41</v>
      </c>
      <c r="D36" s="51" t="s">
        <v>111</v>
      </c>
      <c r="E36" s="18">
        <v>28</v>
      </c>
      <c r="F36" s="12">
        <v>28</v>
      </c>
      <c r="G36" s="13">
        <f>(F36/E36-1)</f>
        <v>0</v>
      </c>
    </row>
    <row r="37" spans="1:8" ht="15" customHeight="1" thickBot="1" x14ac:dyDescent="0.45">
      <c r="A37" s="15">
        <v>8</v>
      </c>
      <c r="B37" s="7" t="s">
        <v>112</v>
      </c>
      <c r="C37" s="7" t="s">
        <v>46</v>
      </c>
      <c r="D37" s="51" t="s">
        <v>113</v>
      </c>
      <c r="E37" s="18">
        <v>22.85</v>
      </c>
      <c r="F37" s="12">
        <v>22.85</v>
      </c>
      <c r="G37" s="13">
        <f>(F37/E37-1)</f>
        <v>0</v>
      </c>
    </row>
    <row r="38" spans="1:8" ht="15" customHeight="1" thickBot="1" x14ac:dyDescent="0.45">
      <c r="A38" s="8">
        <v>9</v>
      </c>
      <c r="B38" s="7" t="s">
        <v>114</v>
      </c>
      <c r="C38" s="7" t="s">
        <v>41</v>
      </c>
      <c r="D38" s="51" t="s">
        <v>115</v>
      </c>
      <c r="E38" s="18">
        <v>0.26500000000000001</v>
      </c>
      <c r="F38" s="12">
        <v>0.26500000000000001</v>
      </c>
      <c r="G38" s="13">
        <f>(F38/E38-1)</f>
        <v>0</v>
      </c>
    </row>
    <row r="39" spans="1:8" ht="15" customHeight="1" thickBot="1" x14ac:dyDescent="0.45">
      <c r="A39" s="15">
        <v>10</v>
      </c>
      <c r="B39" s="7" t="s">
        <v>116</v>
      </c>
      <c r="C39" s="7" t="s">
        <v>41</v>
      </c>
      <c r="D39" s="51" t="s">
        <v>117</v>
      </c>
      <c r="E39" s="18">
        <v>24.65</v>
      </c>
      <c r="F39" s="12">
        <v>24.65</v>
      </c>
      <c r="G39" s="13">
        <f>(F39/E39-1)</f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26</v>
      </c>
      <c r="G40" s="29">
        <v>0</v>
      </c>
      <c r="H40" s="46" t="s">
        <v>27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28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50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f>(F43/E43-1)</f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f>(F44/E44-1)</f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f>(F45/E45-1)</f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f>(F46/E46-1)</f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f>(F47/E47-1)</f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f>(F48/E48-1)</f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f>(F49/E49-1)</f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f>(F50/E50-1)</f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f>(F51/E51-1)</f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f>(F52/E52-1)</f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26</v>
      </c>
      <c r="G53" s="34">
        <v>0</v>
      </c>
      <c r="H53" s="46" t="s">
        <v>27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28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51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>(F57/E57-1)</f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>(F58/E58-1)</f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>(F59/E59-1)</f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>(F60/E60-1)</f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>(F61/E61-1)</f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>(F62/E62-1)</f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f>(F63/E63-1)</f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f>(F64/E64-1)</f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f>(F65/E65-1)</f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26</v>
      </c>
      <c r="G66" s="34">
        <v>0</v>
      </c>
      <c r="H66" s="48" t="s">
        <v>27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28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52</v>
      </c>
    </row>
    <row r="69" spans="1:8" ht="15" customHeight="1" thickBot="1" x14ac:dyDescent="0.45">
      <c r="A69" s="8">
        <v>1</v>
      </c>
      <c r="B69" s="36" t="s">
        <v>120</v>
      </c>
      <c r="C69" s="30" t="s">
        <v>8</v>
      </c>
      <c r="D69" s="36" t="s">
        <v>121</v>
      </c>
      <c r="E69" s="18">
        <v>57.8</v>
      </c>
      <c r="F69" s="12">
        <v>57.8</v>
      </c>
      <c r="G69" s="37">
        <f>(F69/E69-1)</f>
        <v>0</v>
      </c>
      <c r="H69" s="6"/>
    </row>
    <row r="70" spans="1:8" ht="15" customHeight="1" thickBot="1" x14ac:dyDescent="0.45">
      <c r="A70" s="15">
        <v>2</v>
      </c>
      <c r="B70" s="36" t="s">
        <v>122</v>
      </c>
      <c r="C70" s="30" t="s">
        <v>8</v>
      </c>
      <c r="D70" s="36" t="s">
        <v>123</v>
      </c>
      <c r="E70" s="18">
        <v>121.35</v>
      </c>
      <c r="F70" s="12">
        <v>121.35</v>
      </c>
      <c r="G70" s="37">
        <f>(F70/E70-1)</f>
        <v>0</v>
      </c>
      <c r="H70" s="6"/>
    </row>
    <row r="71" spans="1:8" ht="15" customHeight="1" thickBot="1" x14ac:dyDescent="0.45">
      <c r="A71" s="8">
        <v>3</v>
      </c>
      <c r="B71" s="36" t="s">
        <v>80</v>
      </c>
      <c r="C71" s="30" t="s">
        <v>8</v>
      </c>
      <c r="D71" s="36" t="s">
        <v>81</v>
      </c>
      <c r="E71" s="18">
        <v>31.4</v>
      </c>
      <c r="F71" s="12">
        <v>31.4</v>
      </c>
      <c r="G71" s="37">
        <f>(F71/E71-1)</f>
        <v>0</v>
      </c>
      <c r="H71" s="6"/>
    </row>
    <row r="72" spans="1:8" ht="15" customHeight="1" thickBot="1" x14ac:dyDescent="0.45">
      <c r="A72" s="15">
        <v>4</v>
      </c>
      <c r="B72" s="36" t="s">
        <v>53</v>
      </c>
      <c r="C72" s="30" t="s">
        <v>8</v>
      </c>
      <c r="D72" s="36" t="s">
        <v>54</v>
      </c>
      <c r="E72" s="18">
        <v>36.619999999999997</v>
      </c>
      <c r="F72" s="12">
        <v>36.619999999999997</v>
      </c>
      <c r="G72" s="37">
        <f>(F72/E72-1)</f>
        <v>0</v>
      </c>
      <c r="H72" s="6"/>
    </row>
    <row r="73" spans="1:8" ht="15" customHeight="1" thickBot="1" x14ac:dyDescent="0.45">
      <c r="A73" s="8">
        <v>5</v>
      </c>
      <c r="B73" s="36" t="s">
        <v>24</v>
      </c>
      <c r="C73" s="30" t="s">
        <v>8</v>
      </c>
      <c r="D73" s="36" t="s">
        <v>25</v>
      </c>
      <c r="E73" s="18">
        <v>80.709999999999994</v>
      </c>
      <c r="F73" s="12">
        <v>80.709999999999994</v>
      </c>
      <c r="G73" s="37">
        <f>(F73/E73-1)</f>
        <v>0</v>
      </c>
      <c r="H73" s="6"/>
    </row>
    <row r="74" spans="1:8" ht="15" customHeight="1" thickBot="1" x14ac:dyDescent="0.45">
      <c r="A74" s="15">
        <v>6</v>
      </c>
      <c r="B74" s="36" t="s">
        <v>16</v>
      </c>
      <c r="C74" s="30" t="s">
        <v>8</v>
      </c>
      <c r="D74" s="36" t="s">
        <v>17</v>
      </c>
      <c r="E74" s="18">
        <v>102.45</v>
      </c>
      <c r="F74" s="12">
        <v>102.45</v>
      </c>
      <c r="G74" s="37">
        <f>(F74/E74-1)</f>
        <v>0</v>
      </c>
      <c r="H74" s="6"/>
    </row>
    <row r="75" spans="1:8" ht="15" customHeight="1" thickBot="1" x14ac:dyDescent="0.45">
      <c r="A75" s="8">
        <v>7</v>
      </c>
      <c r="B75" s="36" t="s">
        <v>14</v>
      </c>
      <c r="C75" s="30" t="s">
        <v>8</v>
      </c>
      <c r="D75" s="36" t="s">
        <v>15</v>
      </c>
      <c r="E75" s="18">
        <v>84</v>
      </c>
      <c r="F75" s="12">
        <v>84</v>
      </c>
      <c r="G75" s="37">
        <f>(F75/E75-1)</f>
        <v>0</v>
      </c>
      <c r="H75" s="6"/>
    </row>
    <row r="76" spans="1:8" ht="15" customHeight="1" thickBot="1" x14ac:dyDescent="0.45">
      <c r="A76" s="15">
        <v>8</v>
      </c>
      <c r="B76" s="36" t="s">
        <v>124</v>
      </c>
      <c r="C76" s="30" t="s">
        <v>8</v>
      </c>
      <c r="D76" s="36" t="s">
        <v>125</v>
      </c>
      <c r="E76" s="18">
        <v>18.989999999999998</v>
      </c>
      <c r="F76" s="12">
        <v>18.989999999999998</v>
      </c>
      <c r="G76" s="37">
        <f>(F76/E76-1)</f>
        <v>0</v>
      </c>
      <c r="H76" s="6"/>
    </row>
    <row r="77" spans="1:8" ht="15" customHeight="1" thickBot="1" x14ac:dyDescent="0.45">
      <c r="A77" s="8">
        <v>9</v>
      </c>
      <c r="B77" s="36" t="s">
        <v>118</v>
      </c>
      <c r="C77" s="30" t="s">
        <v>8</v>
      </c>
      <c r="D77" s="36" t="s">
        <v>119</v>
      </c>
      <c r="E77" s="18">
        <v>15.39</v>
      </c>
      <c r="F77" s="12">
        <v>15.39</v>
      </c>
      <c r="G77" s="37">
        <f>(F77/E77-1)</f>
        <v>0</v>
      </c>
      <c r="H77" s="6"/>
    </row>
    <row r="78" spans="1:8" ht="15" customHeight="1" thickBot="1" x14ac:dyDescent="0.45">
      <c r="A78" s="15">
        <v>10</v>
      </c>
      <c r="B78" s="36" t="s">
        <v>126</v>
      </c>
      <c r="C78" s="30" t="s">
        <v>8</v>
      </c>
      <c r="D78" s="36" t="s">
        <v>127</v>
      </c>
      <c r="E78" s="18">
        <v>18.984999999999999</v>
      </c>
      <c r="F78" s="12">
        <v>18.984999999999999</v>
      </c>
      <c r="G78" s="37">
        <f>(F78/E78-1)</f>
        <v>0</v>
      </c>
      <c r="H78" s="6"/>
    </row>
    <row r="79" spans="1:8" ht="15.45" customHeight="1" x14ac:dyDescent="0.4">
      <c r="B79" s="14"/>
      <c r="F79" s="38" t="s">
        <v>26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28</v>
      </c>
      <c r="B81" s="41" t="s">
        <v>63</v>
      </c>
      <c r="C81" t="s">
        <v>64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26</v>
      </c>
      <c r="G92" s="34" t="e">
        <v>#VALUE!</v>
      </c>
    </row>
    <row r="93" spans="1:8" x14ac:dyDescent="0.4">
      <c r="B93" s="14"/>
      <c r="F93" s="6"/>
      <c r="H93" s="48" t="s">
        <v>27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28</v>
      </c>
      <c r="B95" s="41" t="s">
        <v>65</v>
      </c>
      <c r="C95" t="s">
        <v>64</v>
      </c>
      <c r="D95" s="43" t="s">
        <v>66</v>
      </c>
      <c r="E95" s="3" t="s">
        <v>3</v>
      </c>
      <c r="F95" s="4" t="s">
        <v>4</v>
      </c>
      <c r="G95" s="5" t="s">
        <v>5</v>
      </c>
      <c r="H95" s="45" t="s">
        <v>67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26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27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27</v>
      </c>
    </row>
  </sheetData>
  <conditionalFormatting sqref="B56:B65">
    <cfRule type="expression" dxfId="178" priority="23" stopIfTrue="1">
      <formula>IF(AO56&gt;0,TRUE,FALSE)</formula>
    </cfRule>
  </conditionalFormatting>
  <conditionalFormatting sqref="B69:B78">
    <cfRule type="expression" dxfId="177" priority="21" stopIfTrue="1">
      <formula>IF(AO69&gt;0,TRUE,FALSE)</formula>
    </cfRule>
  </conditionalFormatting>
  <conditionalFormatting sqref="B81">
    <cfRule type="expression" dxfId="176" priority="63" stopIfTrue="1">
      <formula>IF(AN62&gt;0,TRUE,FALSE)</formula>
    </cfRule>
  </conditionalFormatting>
  <conditionalFormatting sqref="B82:B91">
    <cfRule type="expression" dxfId="175" priority="27" stopIfTrue="1">
      <formula>IF(AL82&gt;0,TRUE,FALSE)</formula>
    </cfRule>
  </conditionalFormatting>
  <conditionalFormatting sqref="B92">
    <cfRule type="expression" dxfId="174" priority="59" stopIfTrue="1">
      <formula>IF(AL91&gt;0,TRUE,FALSE)</formula>
    </cfRule>
  </conditionalFormatting>
  <conditionalFormatting sqref="B95">
    <cfRule type="expression" dxfId="173" priority="62" stopIfTrue="1">
      <formula>IF(AN75&gt;0,TRUE,FALSE)</formula>
    </cfRule>
  </conditionalFormatting>
  <conditionalFormatting sqref="B96:B105">
    <cfRule type="expression" dxfId="172" priority="25" stopIfTrue="1">
      <formula>IF(AO96&gt;0,TRUE,FALSE)</formula>
    </cfRule>
  </conditionalFormatting>
  <conditionalFormatting sqref="B106">
    <cfRule type="expression" dxfId="171" priority="60" stopIfTrue="1">
      <formula>IF(AN104&gt;0,TRUE,FALSE)</formula>
    </cfRule>
  </conditionalFormatting>
  <conditionalFormatting sqref="B107">
    <cfRule type="expression" dxfId="170" priority="61" stopIfTrue="1">
      <formula>IF(AN104&gt;0,TRUE,FALSE)</formula>
    </cfRule>
  </conditionalFormatting>
  <conditionalFormatting sqref="D56:D65">
    <cfRule type="expression" dxfId="169" priority="22" stopIfTrue="1">
      <formula>IF(AQ56&gt;0,TRUE,FALSE)</formula>
    </cfRule>
  </conditionalFormatting>
  <conditionalFormatting sqref="D69:D78">
    <cfRule type="expression" dxfId="168" priority="20" stopIfTrue="1">
      <formula>IF(AQ69&gt;0,TRUE,FALSE)</formula>
    </cfRule>
  </conditionalFormatting>
  <conditionalFormatting sqref="D82:D91">
    <cfRule type="expression" dxfId="167" priority="26" stopIfTrue="1">
      <formula>IF(AN82&gt;0,TRUE,FALSE)</formula>
    </cfRule>
  </conditionalFormatting>
  <conditionalFormatting sqref="D96:D105">
    <cfRule type="expression" dxfId="166" priority="24" stopIfTrue="1">
      <formula>IF(AQ96&gt;0,TRUE,FALSE)</formula>
    </cfRule>
  </conditionalFormatting>
  <conditionalFormatting sqref="F2:F11 F16:F25">
    <cfRule type="expression" dxfId="165" priority="32" stopIfTrue="1">
      <formula>IF(#REF!="AAA",TRUE,FALSE)</formula>
    </cfRule>
    <cfRule type="expression" dxfId="164" priority="33" stopIfTrue="1">
      <formula>IF($T200="AAA",TRUE,FALSE)</formula>
    </cfRule>
    <cfRule type="expression" dxfId="163" priority="34" stopIfTrue="1">
      <formula>IF($U200="AAA",TRUE,FALSE)</formula>
    </cfRule>
    <cfRule type="expression" dxfId="162" priority="35" stopIfTrue="1">
      <formula>IF($AN1048554="AAA",TRUE,FALSE)</formula>
    </cfRule>
    <cfRule type="expression" dxfId="161" priority="36" stopIfTrue="1">
      <formula>IF($T200="AAA",TRUE,FALSE)</formula>
    </cfRule>
    <cfRule type="expression" dxfId="160" priority="37" stopIfTrue="1">
      <formula>IF($U200="AAA",TRUE,FALSE)</formula>
    </cfRule>
  </conditionalFormatting>
  <conditionalFormatting sqref="F43:F52">
    <cfRule type="expression" dxfId="159" priority="78" stopIfTrue="1">
      <formula>IF(#REF!="AAA",TRUE,FALSE)</formula>
    </cfRule>
    <cfRule type="expression" dxfId="158" priority="79" stopIfTrue="1">
      <formula>IF($T242="AAA",TRUE,FALSE)</formula>
    </cfRule>
    <cfRule type="expression" dxfId="157" priority="80" stopIfTrue="1">
      <formula>IF($U242="AAA",TRUE,FALSE)</formula>
    </cfRule>
    <cfRule type="expression" dxfId="156" priority="81" stopIfTrue="1">
      <formula>IF($AN17="AAA",TRUE,FALSE)</formula>
    </cfRule>
    <cfRule type="expression" dxfId="155" priority="82" stopIfTrue="1">
      <formula>IF($T242="AAA",TRUE,FALSE)</formula>
    </cfRule>
    <cfRule type="expression" dxfId="154" priority="83" stopIfTrue="1">
      <formula>IF($U242="AAA",TRUE,FALSE)</formula>
    </cfRule>
  </conditionalFormatting>
  <conditionalFormatting sqref="F82:F91">
    <cfRule type="expression" dxfId="153" priority="67" stopIfTrue="1">
      <formula>IF(#REF!="AAA",TRUE,FALSE)</formula>
    </cfRule>
  </conditionalFormatting>
  <conditionalFormatting sqref="F83:F91">
    <cfRule type="expression" dxfId="152" priority="68" stopIfTrue="1">
      <formula>IF($AN55="AAA",TRUE,FALSE)</formula>
    </cfRule>
    <cfRule type="expression" dxfId="151" priority="69" stopIfTrue="1">
      <formula>IF($T279="AAA",TRUE,FALSE)</formula>
    </cfRule>
    <cfRule type="expression" dxfId="150" priority="70" stopIfTrue="1">
      <formula>IF($U279="AAA",TRUE,FALSE)</formula>
    </cfRule>
  </conditionalFormatting>
  <conditionalFormatting sqref="F96:F97">
    <cfRule type="expression" dxfId="149" priority="75" stopIfTrue="1">
      <formula>IF($AN65="AAA",TRUE,FALSE)</formula>
    </cfRule>
    <cfRule type="expression" dxfId="148" priority="76" stopIfTrue="1">
      <formula>IF($T291="AAA",TRUE,FALSE)</formula>
    </cfRule>
    <cfRule type="expression" dxfId="147" priority="77" stopIfTrue="1">
      <formula>IF($U291="AAA",TRUE,FALSE)</formula>
    </cfRule>
  </conditionalFormatting>
  <conditionalFormatting sqref="F96:F106">
    <cfRule type="expression" dxfId="146" priority="71" stopIfTrue="1">
      <formula>IF(#REF!="AAA",TRUE,FALSE)</formula>
    </cfRule>
  </conditionalFormatting>
  <conditionalFormatting sqref="F98:F106">
    <cfRule type="expression" dxfId="145" priority="72" stopIfTrue="1">
      <formula>IF($AN68="AAA",TRUE,FALSE)</formula>
    </cfRule>
    <cfRule type="expression" dxfId="144" priority="73" stopIfTrue="1">
      <formula>IF($T293="AAA",TRUE,FALSE)</formula>
    </cfRule>
    <cfRule type="expression" dxfId="143" priority="74" stopIfTrue="1">
      <formula>IF($U293="AAA",TRUE,FALSE)</formula>
    </cfRule>
  </conditionalFormatting>
  <conditionalFormatting sqref="G16:G26 G2:G12 G30:G41">
    <cfRule type="cellIs" dxfId="142" priority="65" stopIfTrue="1" operator="lessThan">
      <formula>0</formula>
    </cfRule>
    <cfRule type="cellIs" dxfId="141" priority="66" stopIfTrue="1" operator="greaterThanOrEqual">
      <formula>#REF!</formula>
    </cfRule>
  </conditionalFormatting>
  <conditionalFormatting sqref="G16:G28 G2:G12">
    <cfRule type="cellIs" dxfId="140" priority="38" stopIfTrue="1" operator="lessThan">
      <formula>0</formula>
    </cfRule>
  </conditionalFormatting>
  <conditionalFormatting sqref="G16:G26 G2:G12 G30:G41">
    <cfRule type="cellIs" dxfId="139" priority="64" operator="greaterThan">
      <formula>#REF!</formula>
    </cfRule>
  </conditionalFormatting>
  <conditionalFormatting sqref="G43:G54 G56:G67 G30:G41">
    <cfRule type="cellIs" dxfId="138" priority="55" stopIfTrue="1" operator="lessThan">
      <formula>0</formula>
    </cfRule>
  </conditionalFormatting>
  <conditionalFormatting sqref="G43:G54">
    <cfRule type="cellIs" dxfId="137" priority="43" stopIfTrue="1" operator="lessThan">
      <formula>0</formula>
    </cfRule>
    <cfRule type="cellIs" dxfId="136" priority="44" operator="greaterThan">
      <formula>#REF!</formula>
    </cfRule>
    <cfRule type="cellIs" dxfId="135" priority="45" stopIfTrue="1" operator="lessThan">
      <formula>0</formula>
    </cfRule>
    <cfRule type="cellIs" dxfId="134" priority="46" stopIfTrue="1" operator="greaterThanOrEqual">
      <formula>#REF!</formula>
    </cfRule>
  </conditionalFormatting>
  <conditionalFormatting sqref="G53:G54">
    <cfRule type="cellIs" dxfId="133" priority="29" operator="greaterThan">
      <formula>#REF!</formula>
    </cfRule>
    <cfRule type="cellIs" dxfId="132" priority="30" stopIfTrue="1" operator="lessThan">
      <formula>0</formula>
    </cfRule>
    <cfRule type="cellIs" dxfId="131" priority="31" stopIfTrue="1" operator="greaterThanOrEqual">
      <formula>#REF!</formula>
    </cfRule>
  </conditionalFormatting>
  <conditionalFormatting sqref="G56:G67">
    <cfRule type="cellIs" dxfId="130" priority="56" operator="greaterThan">
      <formula>#REF!</formula>
    </cfRule>
    <cfRule type="cellIs" dxfId="129" priority="57" stopIfTrue="1" operator="lessThan">
      <formula>0</formula>
    </cfRule>
    <cfRule type="cellIs" dxfId="128" priority="58" stopIfTrue="1" operator="greaterThanOrEqual">
      <formula>#REF!</formula>
    </cfRule>
  </conditionalFormatting>
  <conditionalFormatting sqref="G69:G80">
    <cfRule type="cellIs" dxfId="127" priority="39" stopIfTrue="1" operator="lessThan">
      <formula>0</formula>
    </cfRule>
    <cfRule type="cellIs" dxfId="126" priority="40" operator="greaterThan">
      <formula>#REF!</formula>
    </cfRule>
    <cfRule type="cellIs" dxfId="125" priority="41" stopIfTrue="1" operator="lessThan">
      <formula>0</formula>
    </cfRule>
    <cfRule type="cellIs" dxfId="124" priority="42" stopIfTrue="1" operator="greaterThanOrEqual">
      <formula>#REF!</formula>
    </cfRule>
  </conditionalFormatting>
  <conditionalFormatting sqref="G82:G92">
    <cfRule type="cellIs" dxfId="123" priority="51" stopIfTrue="1" operator="lessThan">
      <formula>0</formula>
    </cfRule>
    <cfRule type="cellIs" dxfId="122" priority="52" operator="greaterThan">
      <formula>#REF!</formula>
    </cfRule>
    <cfRule type="cellIs" dxfId="121" priority="53" stopIfTrue="1" operator="lessThan">
      <formula>0</formula>
    </cfRule>
    <cfRule type="cellIs" dxfId="120" priority="54" stopIfTrue="1" operator="greaterThanOrEqual">
      <formula>#REF!</formula>
    </cfRule>
  </conditionalFormatting>
  <conditionalFormatting sqref="G96:G106">
    <cfRule type="cellIs" dxfId="119" priority="47" stopIfTrue="1" operator="lessThan">
      <formula>0</formula>
    </cfRule>
    <cfRule type="cellIs" dxfId="118" priority="48" operator="greaterThan">
      <formula>#REF!</formula>
    </cfRule>
    <cfRule type="cellIs" dxfId="117" priority="49" stopIfTrue="1" operator="lessThan">
      <formula>0</formula>
    </cfRule>
    <cfRule type="cellIs" dxfId="116" priority="50" stopIfTrue="1" operator="greaterThanOrEqual">
      <formula>#REF!</formula>
    </cfRule>
  </conditionalFormatting>
  <conditionalFormatting sqref="H81">
    <cfRule type="cellIs" dxfId="115" priority="28" operator="greaterThan">
      <formula>$H81</formula>
    </cfRule>
  </conditionalFormatting>
  <conditionalFormatting sqref="F67">
    <cfRule type="expression" dxfId="114" priority="84" stopIfTrue="1">
      <formula>IF(#REF!="AAA",TRUE,FALSE)</formula>
    </cfRule>
    <cfRule type="expression" dxfId="113" priority="85" stopIfTrue="1">
      <formula>IF($AK39="AAA",TRUE,FALSE)</formula>
    </cfRule>
    <cfRule type="expression" dxfId="112" priority="86" stopIfTrue="1">
      <formula>IF($T265="AAA",TRUE,FALSE)</formula>
    </cfRule>
    <cfRule type="expression" dxfId="111" priority="87" stopIfTrue="1">
      <formula>IF($U265="AAA",TRUE,FALSE)</formula>
    </cfRule>
  </conditionalFormatting>
  <conditionalFormatting sqref="F82">
    <cfRule type="expression" dxfId="110" priority="88" stopIfTrue="1">
      <formula>IF($AJ53="AAA",TRUE,FALSE)</formula>
    </cfRule>
    <cfRule type="expression" dxfId="109" priority="89" stopIfTrue="1">
      <formula>IF($T278="AAA",TRUE,FALSE)</formula>
    </cfRule>
    <cfRule type="expression" dxfId="108" priority="90" stopIfTrue="1">
      <formula>IF($U278="AAA",TRUE,FALSE)</formula>
    </cfRule>
  </conditionalFormatting>
  <conditionalFormatting sqref="F30:F39">
    <cfRule type="expression" dxfId="107" priority="13" stopIfTrue="1">
      <formula>IF(#REF!="AAA",TRUE,FALSE)</formula>
    </cfRule>
    <cfRule type="expression" dxfId="106" priority="14" stopIfTrue="1">
      <formula>IF($T228="AAA",TRUE,FALSE)</formula>
    </cfRule>
    <cfRule type="expression" dxfId="105" priority="15" stopIfTrue="1">
      <formula>IF($U228="AAA",TRUE,FALSE)</formula>
    </cfRule>
    <cfRule type="expression" dxfId="104" priority="16" stopIfTrue="1">
      <formula>IF($AN6="AAA",TRUE,FALSE)</formula>
    </cfRule>
    <cfRule type="expression" dxfId="103" priority="17" stopIfTrue="1">
      <formula>IF($T228="AAA",TRUE,FALSE)</formula>
    </cfRule>
    <cfRule type="expression" dxfId="102" priority="18" stopIfTrue="1">
      <formula>IF($U228="AAA",TRUE,FALSE)</formula>
    </cfRule>
  </conditionalFormatting>
  <conditionalFormatting sqref="F56:F65">
    <cfRule type="expression" dxfId="101" priority="7" stopIfTrue="1">
      <formula>IF(#REF!="AAA",TRUE,FALSE)</formula>
    </cfRule>
    <cfRule type="expression" dxfId="100" priority="8" stopIfTrue="1">
      <formula>IF($T255="AAA",TRUE,FALSE)</formula>
    </cfRule>
    <cfRule type="expression" dxfId="99" priority="9" stopIfTrue="1">
      <formula>IF($U255="AAA",TRUE,FALSE)</formula>
    </cfRule>
    <cfRule type="expression" dxfId="98" priority="10" stopIfTrue="1">
      <formula>IF($AN30="AAA",TRUE,FALSE)</formula>
    </cfRule>
    <cfRule type="expression" dxfId="97" priority="11" stopIfTrue="1">
      <formula>IF($T255="AAA",TRUE,FALSE)</formula>
    </cfRule>
    <cfRule type="expression" dxfId="96" priority="12" stopIfTrue="1">
      <formula>IF($U255="AAA",TRUE,FALSE)</formula>
    </cfRule>
  </conditionalFormatting>
  <conditionalFormatting sqref="F69:F78">
    <cfRule type="expression" dxfId="95" priority="1" stopIfTrue="1">
      <formula>IF(#REF!="AAA",TRUE,FALSE)</formula>
    </cfRule>
    <cfRule type="expression" dxfId="94" priority="2" stopIfTrue="1">
      <formula>IF($T268="AAA",TRUE,FALSE)</formula>
    </cfRule>
    <cfRule type="expression" dxfId="93" priority="3" stopIfTrue="1">
      <formula>IF($U268="AAA",TRUE,FALSE)</formula>
    </cfRule>
    <cfRule type="expression" dxfId="92" priority="4" stopIfTrue="1">
      <formula>IF($AN43="AAA",TRUE,FALSE)</formula>
    </cfRule>
    <cfRule type="expression" dxfId="91" priority="5" stopIfTrue="1">
      <formula>IF($T268="AAA",TRUE,FALSE)</formula>
    </cfRule>
    <cfRule type="expression" dxfId="90" priority="6" stopIfTrue="1">
      <formula>IF($U268="AAA",TRUE,FALSE)</formula>
    </cfRule>
  </conditionalFormatting>
  <conditionalFormatting sqref="D1:D109">
    <cfRule type="expression" dxfId="89" priority="19">
      <formula>AND(ISNUMBER($A1),$D1&lt;&gt;"",COUNTIF($D$1:$D$109,$D1)&gt;1)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46213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55</v>
      </c>
      <c r="C2" s="9" t="s">
        <v>8</v>
      </c>
      <c r="D2" s="10" t="s">
        <v>56</v>
      </c>
      <c r="E2" s="11">
        <v>15.2</v>
      </c>
      <c r="F2" s="12">
        <v>14.98</v>
      </c>
      <c r="G2" s="13">
        <f>(F2/E2-1)</f>
        <v>-1.4473684210526194E-2</v>
      </c>
      <c r="H2" s="14"/>
    </row>
    <row r="3" spans="1:8" ht="15" customHeight="1" thickBot="1" x14ac:dyDescent="0.45">
      <c r="A3" s="15">
        <v>2</v>
      </c>
      <c r="B3" s="9" t="s">
        <v>57</v>
      </c>
      <c r="C3" s="9" t="s">
        <v>8</v>
      </c>
      <c r="D3" s="10" t="s">
        <v>58</v>
      </c>
      <c r="E3" s="11">
        <v>8.18</v>
      </c>
      <c r="F3" s="12">
        <v>8.1050000000000004</v>
      </c>
      <c r="G3" s="13">
        <f>(F3/E3-1)</f>
        <v>-9.1687041564790794E-3</v>
      </c>
      <c r="H3" s="6"/>
    </row>
    <row r="4" spans="1:8" ht="15" customHeight="1" thickBot="1" x14ac:dyDescent="0.45">
      <c r="A4" s="8">
        <v>3</v>
      </c>
      <c r="B4" s="9" t="s">
        <v>22</v>
      </c>
      <c r="C4" s="9" t="s">
        <v>8</v>
      </c>
      <c r="D4" s="10" t="s">
        <v>23</v>
      </c>
      <c r="E4" s="11">
        <v>28.25</v>
      </c>
      <c r="F4" s="12">
        <v>30.05</v>
      </c>
      <c r="G4" s="13">
        <f>(F4/E4-1)</f>
        <v>6.371681415929209E-2</v>
      </c>
      <c r="H4" s="6"/>
    </row>
    <row r="5" spans="1:8" ht="15" customHeight="1" thickBot="1" x14ac:dyDescent="0.45">
      <c r="A5" s="15">
        <v>4</v>
      </c>
      <c r="B5" s="9" t="s">
        <v>12</v>
      </c>
      <c r="C5" s="9" t="s">
        <v>8</v>
      </c>
      <c r="D5" s="10" t="s">
        <v>13</v>
      </c>
      <c r="E5" s="11">
        <v>24.6</v>
      </c>
      <c r="F5" s="12">
        <v>25.86</v>
      </c>
      <c r="G5" s="13">
        <f>(F5/E5-1)</f>
        <v>5.1219512195121775E-2</v>
      </c>
      <c r="H5" s="6"/>
    </row>
    <row r="6" spans="1:8" ht="15" customHeight="1" thickBot="1" x14ac:dyDescent="0.45">
      <c r="A6" s="8">
        <v>5</v>
      </c>
      <c r="B6" s="9" t="s">
        <v>14</v>
      </c>
      <c r="C6" s="9" t="s">
        <v>8</v>
      </c>
      <c r="D6" s="10" t="s">
        <v>15</v>
      </c>
      <c r="E6" s="11">
        <v>80.5</v>
      </c>
      <c r="F6" s="12">
        <v>84</v>
      </c>
      <c r="G6" s="13">
        <f>(F6/E6-1)</f>
        <v>4.3478260869565188E-2</v>
      </c>
      <c r="H6" s="6"/>
    </row>
    <row r="7" spans="1:8" ht="15" customHeight="1" thickBot="1" x14ac:dyDescent="0.45">
      <c r="A7" s="15">
        <v>6</v>
      </c>
      <c r="B7" s="9" t="s">
        <v>24</v>
      </c>
      <c r="C7" s="9" t="s">
        <v>8</v>
      </c>
      <c r="D7" s="10" t="s">
        <v>25</v>
      </c>
      <c r="E7" s="11">
        <v>78.53</v>
      </c>
      <c r="F7" s="12">
        <v>80.709999999999994</v>
      </c>
      <c r="G7" s="13">
        <f>(F7/E7-1)</f>
        <v>2.7760091684706278E-2</v>
      </c>
      <c r="H7" s="6"/>
    </row>
    <row r="8" spans="1:8" ht="15" customHeight="1" thickBot="1" x14ac:dyDescent="0.45">
      <c r="A8" s="8">
        <v>7</v>
      </c>
      <c r="B8" s="9" t="s">
        <v>68</v>
      </c>
      <c r="C8" s="9" t="s">
        <v>8</v>
      </c>
      <c r="D8" s="10" t="s">
        <v>69</v>
      </c>
      <c r="E8" s="11">
        <v>233</v>
      </c>
      <c r="F8" s="12">
        <v>228</v>
      </c>
      <c r="G8" s="13">
        <f>(F8/E8-1)</f>
        <v>-2.1459227467811148E-2</v>
      </c>
      <c r="H8" s="6"/>
    </row>
    <row r="9" spans="1:8" ht="15" customHeight="1" thickBot="1" x14ac:dyDescent="0.45">
      <c r="A9" s="15">
        <v>8</v>
      </c>
      <c r="B9" s="9" t="s">
        <v>128</v>
      </c>
      <c r="C9" s="9" t="s">
        <v>8</v>
      </c>
      <c r="D9" s="10" t="s">
        <v>129</v>
      </c>
      <c r="E9" s="11">
        <v>1.454</v>
      </c>
      <c r="F9" s="12">
        <v>1.5669999999999999</v>
      </c>
      <c r="G9" s="13">
        <f>(F9/E9-1)</f>
        <v>7.7716643741402969E-2</v>
      </c>
      <c r="H9" s="6"/>
    </row>
    <row r="10" spans="1:8" ht="15" customHeight="1" thickBot="1" x14ac:dyDescent="0.45">
      <c r="A10" s="8">
        <v>9</v>
      </c>
      <c r="B10" s="9" t="s">
        <v>61</v>
      </c>
      <c r="C10" s="9" t="s">
        <v>8</v>
      </c>
      <c r="D10" s="10" t="s">
        <v>62</v>
      </c>
      <c r="E10" s="11">
        <v>317.5</v>
      </c>
      <c r="F10" s="12">
        <v>337</v>
      </c>
      <c r="G10" s="13">
        <f>(F10/E10-1)</f>
        <v>6.1417322834645738E-2</v>
      </c>
      <c r="H10" s="6"/>
    </row>
    <row r="11" spans="1:8" ht="15" customHeight="1" thickBot="1" x14ac:dyDescent="0.45">
      <c r="A11" s="15">
        <v>10</v>
      </c>
      <c r="B11" s="9" t="s">
        <v>130</v>
      </c>
      <c r="C11" s="9" t="s">
        <v>8</v>
      </c>
      <c r="D11" s="10" t="s">
        <v>131</v>
      </c>
      <c r="E11" s="11">
        <v>216.4</v>
      </c>
      <c r="F11" s="12">
        <v>211.6</v>
      </c>
      <c r="G11" s="13">
        <f>(F11/E11-1)</f>
        <v>-2.2181146025878062E-2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26</v>
      </c>
      <c r="G12" s="20">
        <v>2.5802588362403955E-2</v>
      </c>
      <c r="H12" s="46" t="s">
        <v>27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28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29</v>
      </c>
    </row>
    <row r="16" spans="1:8" ht="15" customHeight="1" thickBot="1" x14ac:dyDescent="0.45">
      <c r="A16" s="8">
        <v>1</v>
      </c>
      <c r="B16" s="9" t="s">
        <v>95</v>
      </c>
      <c r="C16" s="9" t="s">
        <v>8</v>
      </c>
      <c r="D16" s="10" t="s">
        <v>96</v>
      </c>
      <c r="E16" s="22">
        <v>124.8</v>
      </c>
      <c r="F16" s="12">
        <v>125.6</v>
      </c>
      <c r="G16" s="13">
        <f>(F16/E16-1)</f>
        <v>6.4102564102563875E-3</v>
      </c>
      <c r="H16" s="47"/>
    </row>
    <row r="17" spans="1:8" ht="15" customHeight="1" thickBot="1" x14ac:dyDescent="0.45">
      <c r="A17" s="15">
        <v>2</v>
      </c>
      <c r="B17" s="9" t="s">
        <v>132</v>
      </c>
      <c r="C17" s="9" t="s">
        <v>8</v>
      </c>
      <c r="D17" s="10" t="s">
        <v>133</v>
      </c>
      <c r="E17" s="22">
        <v>9.7249999999999996</v>
      </c>
      <c r="F17" s="12">
        <v>9.74</v>
      </c>
      <c r="G17" s="13">
        <f>(F17/E17-1)</f>
        <v>1.5424164524422412E-3</v>
      </c>
      <c r="H17" s="6"/>
    </row>
    <row r="18" spans="1:8" ht="15" customHeight="1" thickBot="1" x14ac:dyDescent="0.45">
      <c r="A18" s="8">
        <v>3</v>
      </c>
      <c r="B18" s="9" t="s">
        <v>134</v>
      </c>
      <c r="C18" s="9" t="s">
        <v>8</v>
      </c>
      <c r="D18" s="10" t="s">
        <v>135</v>
      </c>
      <c r="E18" s="22">
        <v>2.1339999999999999</v>
      </c>
      <c r="F18" s="12">
        <v>2.16</v>
      </c>
      <c r="G18" s="13">
        <f>(F18/E18-1)</f>
        <v>1.2183692596063889E-2</v>
      </c>
      <c r="H18" s="6"/>
    </row>
    <row r="19" spans="1:8" ht="15" customHeight="1" thickBot="1" x14ac:dyDescent="0.45">
      <c r="A19" s="15">
        <v>4</v>
      </c>
      <c r="B19" s="9" t="s">
        <v>36</v>
      </c>
      <c r="C19" s="9" t="s">
        <v>8</v>
      </c>
      <c r="D19" s="10" t="s">
        <v>37</v>
      </c>
      <c r="E19" s="22">
        <v>1.38</v>
      </c>
      <c r="F19" s="12">
        <v>1.766</v>
      </c>
      <c r="G19" s="13">
        <f>(F19/E19-1)</f>
        <v>0.27971014492753632</v>
      </c>
      <c r="H19" s="6"/>
    </row>
    <row r="20" spans="1:8" ht="15" customHeight="1" thickBot="1" x14ac:dyDescent="0.45">
      <c r="A20" s="8">
        <v>5</v>
      </c>
      <c r="B20" s="9" t="s">
        <v>30</v>
      </c>
      <c r="C20" s="9" t="s">
        <v>8</v>
      </c>
      <c r="D20" s="10" t="s">
        <v>31</v>
      </c>
      <c r="E20" s="22">
        <v>21.16</v>
      </c>
      <c r="F20" s="12">
        <v>22.46</v>
      </c>
      <c r="G20" s="13">
        <f>(F20/E20-1)</f>
        <v>6.1436672967863926E-2</v>
      </c>
      <c r="H20" s="6"/>
    </row>
    <row r="21" spans="1:8" ht="15" customHeight="1" thickBot="1" x14ac:dyDescent="0.45">
      <c r="A21" s="15">
        <v>6</v>
      </c>
      <c r="B21" s="9" t="s">
        <v>136</v>
      </c>
      <c r="C21" s="9" t="s">
        <v>8</v>
      </c>
      <c r="D21" s="10" t="s">
        <v>137</v>
      </c>
      <c r="E21" s="22">
        <v>12.6</v>
      </c>
      <c r="F21" s="12">
        <v>13.92</v>
      </c>
      <c r="G21" s="13">
        <f>(F21/E21-1)</f>
        <v>0.10476190476190483</v>
      </c>
      <c r="H21" s="6"/>
    </row>
    <row r="22" spans="1:8" ht="15" customHeight="1" thickBot="1" x14ac:dyDescent="0.45">
      <c r="A22" s="8">
        <v>7</v>
      </c>
      <c r="B22" s="9" t="s">
        <v>120</v>
      </c>
      <c r="C22" s="9" t="s">
        <v>8</v>
      </c>
      <c r="D22" s="10" t="s">
        <v>121</v>
      </c>
      <c r="E22" s="22">
        <v>55.15</v>
      </c>
      <c r="F22" s="12">
        <v>57.8</v>
      </c>
      <c r="G22" s="13">
        <f>(F22/E22-1)</f>
        <v>4.8050770625566619E-2</v>
      </c>
      <c r="H22" s="6"/>
    </row>
    <row r="23" spans="1:8" ht="15" customHeight="1" thickBot="1" x14ac:dyDescent="0.45">
      <c r="A23" s="15">
        <v>8</v>
      </c>
      <c r="B23" s="9" t="s">
        <v>70</v>
      </c>
      <c r="C23" s="9" t="s">
        <v>8</v>
      </c>
      <c r="D23" s="10" t="s">
        <v>71</v>
      </c>
      <c r="E23" s="22">
        <v>0.441</v>
      </c>
      <c r="F23" s="12">
        <v>0.43099999999999999</v>
      </c>
      <c r="G23" s="13">
        <f>(F23/E23-1)</f>
        <v>-2.2675736961451309E-2</v>
      </c>
      <c r="H23" s="6"/>
    </row>
    <row r="24" spans="1:8" ht="15" customHeight="1" thickBot="1" x14ac:dyDescent="0.45">
      <c r="A24" s="8">
        <v>9</v>
      </c>
      <c r="B24" s="9" t="s">
        <v>59</v>
      </c>
      <c r="C24" s="9" t="s">
        <v>8</v>
      </c>
      <c r="D24" s="10" t="s">
        <v>60</v>
      </c>
      <c r="E24" s="22">
        <v>30.56</v>
      </c>
      <c r="F24" s="12">
        <v>32.46</v>
      </c>
      <c r="G24" s="13">
        <f>(F24/E24-1)</f>
        <v>6.2172774869110103E-2</v>
      </c>
      <c r="H24" s="6"/>
    </row>
    <row r="25" spans="1:8" ht="15" customHeight="1" thickBot="1" x14ac:dyDescent="0.45">
      <c r="A25" s="15">
        <v>10</v>
      </c>
      <c r="B25" s="9" t="s">
        <v>138</v>
      </c>
      <c r="C25" s="9" t="s">
        <v>8</v>
      </c>
      <c r="D25" s="10" t="s">
        <v>139</v>
      </c>
      <c r="E25" s="22">
        <v>14.49</v>
      </c>
      <c r="F25" s="12">
        <v>14.78</v>
      </c>
      <c r="G25" s="13">
        <f>(F25/E25-1)</f>
        <v>2.00138026224983E-2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26</v>
      </c>
      <c r="G26" s="24">
        <v>5.7360669927179128E-2</v>
      </c>
      <c r="H26" s="46" t="s">
        <v>27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28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39</v>
      </c>
    </row>
    <row r="30" spans="1:8" ht="15" customHeight="1" thickBot="1" x14ac:dyDescent="0.45">
      <c r="A30" s="8">
        <v>1</v>
      </c>
      <c r="B30" s="7" t="s">
        <v>45</v>
      </c>
      <c r="C30" s="7" t="s">
        <v>46</v>
      </c>
      <c r="D30" s="51" t="s">
        <v>47</v>
      </c>
      <c r="E30" s="18">
        <v>0.08</v>
      </c>
      <c r="F30" s="12">
        <v>7.0000000000000007E-2</v>
      </c>
      <c r="G30" s="13">
        <f>(F30/E30-1)</f>
        <v>-0.12499999999999989</v>
      </c>
    </row>
    <row r="31" spans="1:8" ht="15" customHeight="1" thickBot="1" x14ac:dyDescent="0.45">
      <c r="A31" s="15">
        <v>2</v>
      </c>
      <c r="B31" s="7" t="s">
        <v>140</v>
      </c>
      <c r="C31" s="7" t="s">
        <v>41</v>
      </c>
      <c r="D31" s="51" t="s">
        <v>141</v>
      </c>
      <c r="E31" s="18">
        <v>9.9</v>
      </c>
      <c r="F31" s="12">
        <v>9.5</v>
      </c>
      <c r="G31" s="13">
        <f>(F31/E31-1)</f>
        <v>-4.0404040404040442E-2</v>
      </c>
    </row>
    <row r="32" spans="1:8" ht="15" customHeight="1" thickBot="1" x14ac:dyDescent="0.45">
      <c r="A32" s="8">
        <v>3</v>
      </c>
      <c r="B32" s="7" t="s">
        <v>43</v>
      </c>
      <c r="C32" s="7" t="s">
        <v>41</v>
      </c>
      <c r="D32" s="51" t="s">
        <v>44</v>
      </c>
      <c r="E32" s="18">
        <v>0.158</v>
      </c>
      <c r="F32" s="12">
        <v>0.154</v>
      </c>
      <c r="G32" s="13">
        <f>(F32/E32-1)</f>
        <v>-2.5316455696202556E-2</v>
      </c>
    </row>
    <row r="33" spans="1:8" ht="15" customHeight="1" thickBot="1" x14ac:dyDescent="0.45">
      <c r="A33" s="15">
        <v>4</v>
      </c>
      <c r="B33" s="7" t="s">
        <v>142</v>
      </c>
      <c r="C33" s="7" t="s">
        <v>41</v>
      </c>
      <c r="D33" s="51" t="s">
        <v>143</v>
      </c>
      <c r="E33" s="18">
        <v>1.3</v>
      </c>
      <c r="F33" s="12">
        <v>1.23</v>
      </c>
      <c r="G33" s="13">
        <f>(F33/E33-1)</f>
        <v>-5.3846153846153877E-2</v>
      </c>
    </row>
    <row r="34" spans="1:8" ht="15" customHeight="1" thickBot="1" x14ac:dyDescent="0.45">
      <c r="A34" s="8">
        <v>5</v>
      </c>
      <c r="B34" s="7" t="s">
        <v>48</v>
      </c>
      <c r="C34" s="7" t="s">
        <v>41</v>
      </c>
      <c r="D34" s="51" t="s">
        <v>49</v>
      </c>
      <c r="E34" s="18">
        <v>0.24099999999999999</v>
      </c>
      <c r="F34" s="12">
        <v>0.224</v>
      </c>
      <c r="G34" s="13">
        <f>(F34/E34-1)</f>
        <v>-7.0539419087136901E-2</v>
      </c>
    </row>
    <row r="35" spans="1:8" ht="15" customHeight="1" thickBot="1" x14ac:dyDescent="0.45">
      <c r="A35" s="15">
        <v>6</v>
      </c>
      <c r="B35" s="7" t="s">
        <v>144</v>
      </c>
      <c r="C35" s="7" t="s">
        <v>41</v>
      </c>
      <c r="D35" s="51" t="s">
        <v>145</v>
      </c>
      <c r="E35" s="18">
        <v>10.14</v>
      </c>
      <c r="F35" s="12">
        <v>9.81</v>
      </c>
      <c r="G35" s="13">
        <f>(F35/E35-1)</f>
        <v>-3.2544378698224907E-2</v>
      </c>
    </row>
    <row r="36" spans="1:8" ht="15" customHeight="1" thickBot="1" x14ac:dyDescent="0.45">
      <c r="A36" s="8">
        <v>7</v>
      </c>
      <c r="B36" s="7" t="s">
        <v>146</v>
      </c>
      <c r="C36" s="7" t="s">
        <v>41</v>
      </c>
      <c r="D36" s="51" t="s">
        <v>147</v>
      </c>
      <c r="E36" s="18">
        <v>19.7</v>
      </c>
      <c r="F36" s="12">
        <v>18.7</v>
      </c>
      <c r="G36" s="13">
        <f>(F36/E36-1)</f>
        <v>-5.0761421319796995E-2</v>
      </c>
    </row>
    <row r="37" spans="1:8" ht="15" customHeight="1" thickBot="1" x14ac:dyDescent="0.45">
      <c r="A37" s="15">
        <v>8</v>
      </c>
      <c r="B37" s="7" t="s">
        <v>148</v>
      </c>
      <c r="C37" s="7" t="s">
        <v>41</v>
      </c>
      <c r="D37" s="51" t="s">
        <v>149</v>
      </c>
      <c r="E37" s="18">
        <v>3.4049999999999998</v>
      </c>
      <c r="F37" s="12">
        <v>4.12</v>
      </c>
      <c r="G37" s="13">
        <f>(F37/E37-1)</f>
        <v>0.20998531571218804</v>
      </c>
    </row>
    <row r="38" spans="1:8" ht="15" customHeight="1" thickBot="1" x14ac:dyDescent="0.45">
      <c r="A38" s="8">
        <v>9</v>
      </c>
      <c r="B38" s="7" t="s">
        <v>150</v>
      </c>
      <c r="C38" s="7" t="s">
        <v>46</v>
      </c>
      <c r="D38" s="51" t="s">
        <v>151</v>
      </c>
      <c r="E38" s="18">
        <v>1.2999999999999999E-2</v>
      </c>
      <c r="F38" s="12">
        <v>1.0999999999999999E-2</v>
      </c>
      <c r="G38" s="13">
        <f>(F38/E38-1)</f>
        <v>-0.15384615384615385</v>
      </c>
    </row>
    <row r="39" spans="1:8" ht="15" customHeight="1" thickBot="1" x14ac:dyDescent="0.45">
      <c r="A39" s="15">
        <v>10</v>
      </c>
      <c r="B39" s="7" t="s">
        <v>40</v>
      </c>
      <c r="C39" s="7" t="s">
        <v>41</v>
      </c>
      <c r="D39" s="51" t="s">
        <v>42</v>
      </c>
      <c r="E39" s="18">
        <v>3.47</v>
      </c>
      <c r="F39" s="12">
        <v>4.0199999999999996</v>
      </c>
      <c r="G39" s="13">
        <f>(F39/E39-1)</f>
        <v>0.1585014409221901</v>
      </c>
    </row>
    <row r="40" spans="1:8" ht="15.45" customHeight="1" thickBot="1" x14ac:dyDescent="0.45">
      <c r="A40" s="15"/>
      <c r="B40" s="27"/>
      <c r="C40" s="16"/>
      <c r="D40" s="17"/>
      <c r="F40" s="28" t="s">
        <v>26</v>
      </c>
      <c r="G40" s="29">
        <v>-1.8377126626333128E-2</v>
      </c>
      <c r="H40" s="46" t="s">
        <v>27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28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50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26</v>
      </c>
      <c r="G53" s="34" t="e">
        <v>#DIV/0!</v>
      </c>
      <c r="H53" s="46" t="s">
        <v>27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28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51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26</v>
      </c>
      <c r="G66" s="34" t="e">
        <v>#DIV/0!</v>
      </c>
      <c r="H66" s="48" t="s">
        <v>27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28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52</v>
      </c>
    </row>
    <row r="69" spans="1:8" ht="15" customHeight="1" thickBot="1" x14ac:dyDescent="0.45">
      <c r="A69" s="8">
        <v>1</v>
      </c>
      <c r="B69" s="36" t="s">
        <v>152</v>
      </c>
      <c r="C69" s="30" t="s">
        <v>8</v>
      </c>
      <c r="D69" s="36" t="s">
        <v>153</v>
      </c>
      <c r="E69" s="18">
        <v>212.8</v>
      </c>
      <c r="F69" s="12">
        <v>215</v>
      </c>
      <c r="G69" s="37">
        <f>(F69/E69-1)</f>
        <v>1.0338345864661536E-2</v>
      </c>
      <c r="H69" s="6"/>
    </row>
    <row r="70" spans="1:8" ht="15" customHeight="1" thickBot="1" x14ac:dyDescent="0.45">
      <c r="A70" s="15">
        <v>2</v>
      </c>
      <c r="B70" s="36" t="s">
        <v>55</v>
      </c>
      <c r="C70" s="30" t="s">
        <v>8</v>
      </c>
      <c r="D70" s="36" t="s">
        <v>56</v>
      </c>
      <c r="E70" s="18">
        <v>15.2</v>
      </c>
      <c r="F70" s="12">
        <v>14.98</v>
      </c>
      <c r="G70" s="37">
        <f>(F70/E70-1)</f>
        <v>-1.4473684210526194E-2</v>
      </c>
      <c r="H70" s="6"/>
    </row>
    <row r="71" spans="1:8" ht="15" customHeight="1" thickBot="1" x14ac:dyDescent="0.45">
      <c r="A71" s="8">
        <v>3</v>
      </c>
      <c r="B71" s="36" t="s">
        <v>78</v>
      </c>
      <c r="C71" s="30" t="s">
        <v>38</v>
      </c>
      <c r="D71" s="36" t="s">
        <v>79</v>
      </c>
      <c r="E71" s="18">
        <v>50.8</v>
      </c>
      <c r="F71" s="12">
        <v>48</v>
      </c>
      <c r="G71" s="37">
        <f>(F71/E71-1)</f>
        <v>-5.5118110236220375E-2</v>
      </c>
      <c r="H71" s="6"/>
    </row>
    <row r="72" spans="1:8" ht="15" customHeight="1" thickBot="1" x14ac:dyDescent="0.45">
      <c r="A72" s="15">
        <v>4</v>
      </c>
      <c r="B72" s="36" t="s">
        <v>10</v>
      </c>
      <c r="C72" s="30" t="s">
        <v>8</v>
      </c>
      <c r="D72" s="36" t="s">
        <v>11</v>
      </c>
      <c r="E72" s="18">
        <v>152</v>
      </c>
      <c r="F72" s="12">
        <v>148</v>
      </c>
      <c r="G72" s="37">
        <f>(F72/E72-1)</f>
        <v>-2.6315789473684181E-2</v>
      </c>
      <c r="H72" s="6"/>
    </row>
    <row r="73" spans="1:8" ht="15" customHeight="1" thickBot="1" x14ac:dyDescent="0.45">
      <c r="A73" s="8">
        <v>5</v>
      </c>
      <c r="B73" s="36" t="s">
        <v>68</v>
      </c>
      <c r="C73" s="30" t="s">
        <v>8</v>
      </c>
      <c r="D73" s="36" t="s">
        <v>69</v>
      </c>
      <c r="E73" s="18">
        <v>233</v>
      </c>
      <c r="F73" s="12">
        <v>228</v>
      </c>
      <c r="G73" s="37">
        <f>(F73/E73-1)</f>
        <v>-2.1459227467811148E-2</v>
      </c>
      <c r="H73" s="6"/>
    </row>
    <row r="74" spans="1:8" ht="15" customHeight="1" thickBot="1" x14ac:dyDescent="0.45">
      <c r="A74" s="15">
        <v>6</v>
      </c>
      <c r="B74" s="36" t="s">
        <v>59</v>
      </c>
      <c r="C74" s="30" t="s">
        <v>8</v>
      </c>
      <c r="D74" s="36" t="s">
        <v>60</v>
      </c>
      <c r="E74" s="18">
        <v>30.56</v>
      </c>
      <c r="F74" s="12">
        <v>32.46</v>
      </c>
      <c r="G74" s="37">
        <f>(F74/E74-1)</f>
        <v>6.2172774869110103E-2</v>
      </c>
      <c r="H74" s="6"/>
    </row>
    <row r="75" spans="1:8" ht="15" customHeight="1" thickBot="1" x14ac:dyDescent="0.45">
      <c r="A75" s="8">
        <v>7</v>
      </c>
      <c r="B75" s="36" t="s">
        <v>154</v>
      </c>
      <c r="C75" s="30" t="s">
        <v>8</v>
      </c>
      <c r="D75" s="36" t="s">
        <v>155</v>
      </c>
      <c r="E75" s="18">
        <v>77.599999999999994</v>
      </c>
      <c r="F75" s="12">
        <v>78.3</v>
      </c>
      <c r="G75" s="37">
        <f>(F75/E75-1)</f>
        <v>9.0206185567009989E-3</v>
      </c>
      <c r="H75" s="6"/>
    </row>
    <row r="76" spans="1:8" ht="15" customHeight="1" thickBot="1" x14ac:dyDescent="0.45">
      <c r="A76" s="15">
        <v>8</v>
      </c>
      <c r="B76" s="36" t="s">
        <v>76</v>
      </c>
      <c r="C76" s="30" t="s">
        <v>8</v>
      </c>
      <c r="D76" s="36" t="s">
        <v>77</v>
      </c>
      <c r="E76" s="18">
        <v>25.05</v>
      </c>
      <c r="F76" s="12">
        <v>25.9</v>
      </c>
      <c r="G76" s="37">
        <f>(F76/E76-1)</f>
        <v>3.3932135728542923E-2</v>
      </c>
      <c r="H76" s="6"/>
    </row>
    <row r="77" spans="1:8" ht="15" customHeight="1" thickBot="1" x14ac:dyDescent="0.45">
      <c r="A77" s="8">
        <v>9</v>
      </c>
      <c r="B77" s="36" t="s">
        <v>24</v>
      </c>
      <c r="C77" s="30" t="s">
        <v>8</v>
      </c>
      <c r="D77" s="36" t="s">
        <v>25</v>
      </c>
      <c r="E77" s="18">
        <v>78.53</v>
      </c>
      <c r="F77" s="12">
        <v>80.709999999999994</v>
      </c>
      <c r="G77" s="37">
        <f>(F77/E77-1)</f>
        <v>2.7760091684706278E-2</v>
      </c>
      <c r="H77" s="6"/>
    </row>
    <row r="78" spans="1:8" ht="15" customHeight="1" thickBot="1" x14ac:dyDescent="0.45">
      <c r="A78" s="15">
        <v>10</v>
      </c>
      <c r="B78" s="36" t="s">
        <v>122</v>
      </c>
      <c r="C78" s="30" t="s">
        <v>8</v>
      </c>
      <c r="D78" s="36" t="s">
        <v>123</v>
      </c>
      <c r="E78" s="18">
        <v>115.05</v>
      </c>
      <c r="F78" s="12">
        <v>121.35</v>
      </c>
      <c r="G78" s="37">
        <f>(F78/E78-1)</f>
        <v>5.4758800521512274E-2</v>
      </c>
      <c r="H78" s="6"/>
    </row>
    <row r="79" spans="1:8" ht="15.45" customHeight="1" x14ac:dyDescent="0.4">
      <c r="B79" s="14"/>
      <c r="F79" s="38" t="s">
        <v>26</v>
      </c>
      <c r="G79" s="34">
        <v>8.0615955836992222E-3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28</v>
      </c>
      <c r="B81" s="41" t="s">
        <v>63</v>
      </c>
      <c r="C81" t="s">
        <v>64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4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26</v>
      </c>
      <c r="G92" s="34" t="e">
        <v>#VALUE!</v>
      </c>
    </row>
    <row r="93" spans="1:8" x14ac:dyDescent="0.4">
      <c r="B93" s="14"/>
      <c r="F93" s="6"/>
      <c r="H93" s="48" t="s">
        <v>27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28</v>
      </c>
      <c r="B95" s="41" t="s">
        <v>65</v>
      </c>
      <c r="C95" t="s">
        <v>64</v>
      </c>
      <c r="D95" s="43" t="s">
        <v>66</v>
      </c>
      <c r="E95" s="3" t="s">
        <v>3</v>
      </c>
      <c r="F95" s="4" t="s">
        <v>4</v>
      </c>
      <c r="G95" s="5" t="s">
        <v>5</v>
      </c>
      <c r="H95" s="45" t="s">
        <v>67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26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27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27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1" stopIfTrue="1">
      <formula>IF(#REF!="AAA",TRUE,FALSE)</formula>
    </cfRule>
    <cfRule type="expression" dxfId="74" priority="32" stopIfTrue="1">
      <formula>IF($T200="AAA",TRUE,FALSE)</formula>
    </cfRule>
    <cfRule type="expression" dxfId="73" priority="33" stopIfTrue="1">
      <formula>IF($U200="AAA",TRUE,FALSE)</formula>
    </cfRule>
    <cfRule type="expression" dxfId="72" priority="34" stopIfTrue="1">
      <formula>IF($AN1048554="AAA",TRUE,FALSE)</formula>
    </cfRule>
    <cfRule type="expression" dxfId="71" priority="35" stopIfTrue="1">
      <formula>IF($T200="AAA",TRUE,FALSE)</formula>
    </cfRule>
    <cfRule type="expression" dxfId="70" priority="36" stopIfTrue="1">
      <formula>IF($U200="AAA",TRUE,FALSE)</formula>
    </cfRule>
  </conditionalFormatting>
  <conditionalFormatting sqref="F43:F52">
    <cfRule type="expression" dxfId="69" priority="77" stopIfTrue="1">
      <formula>IF(#REF!="AAA",TRUE,FALSE)</formula>
    </cfRule>
    <cfRule type="expression" dxfId="68" priority="78" stopIfTrue="1">
      <formula>IF($T242="AAA",TRUE,FALSE)</formula>
    </cfRule>
    <cfRule type="expression" dxfId="67" priority="79" stopIfTrue="1">
      <formula>IF($U242="AAA",TRUE,FALSE)</formula>
    </cfRule>
    <cfRule type="expression" dxfId="66" priority="80" stopIfTrue="1">
      <formula>IF($AN17="AAA",TRUE,FALSE)</formula>
    </cfRule>
    <cfRule type="expression" dxfId="65" priority="81" stopIfTrue="1">
      <formula>IF($T242="AAA",TRUE,FALSE)</formula>
    </cfRule>
    <cfRule type="expression" dxfId="64" priority="82" stopIfTrue="1">
      <formula>IF($U242="AAA",TRUE,FALSE)</formula>
    </cfRule>
  </conditionalFormatting>
  <conditionalFormatting sqref="F82:F91">
    <cfRule type="expression" dxfId="63" priority="66" stopIfTrue="1">
      <formula>IF(#REF!="AAA",TRUE,FALSE)</formula>
    </cfRule>
  </conditionalFormatting>
  <conditionalFormatting sqref="F83:F91">
    <cfRule type="expression" dxfId="62" priority="67" stopIfTrue="1">
      <formula>IF($AN55="AAA",TRUE,FALSE)</formula>
    </cfRule>
    <cfRule type="expression" dxfId="61" priority="68" stopIfTrue="1">
      <formula>IF($T279="AAA",TRUE,FALSE)</formula>
    </cfRule>
    <cfRule type="expression" dxfId="60" priority="69" stopIfTrue="1">
      <formula>IF($U279="AAA",TRUE,FALSE)</formula>
    </cfRule>
  </conditionalFormatting>
  <conditionalFormatting sqref="F96:F97">
    <cfRule type="expression" dxfId="59" priority="74" stopIfTrue="1">
      <formula>IF($AN65="AAA",TRUE,FALSE)</formula>
    </cfRule>
    <cfRule type="expression" dxfId="58" priority="75" stopIfTrue="1">
      <formula>IF($T291="AAA",TRUE,FALSE)</formula>
    </cfRule>
    <cfRule type="expression" dxfId="57" priority="76" stopIfTrue="1">
      <formula>IF($U291="AAA",TRUE,FALSE)</formula>
    </cfRule>
  </conditionalFormatting>
  <conditionalFormatting sqref="F96:F106">
    <cfRule type="expression" dxfId="56" priority="70" stopIfTrue="1">
      <formula>IF(#REF!="AAA",TRUE,FALSE)</formula>
    </cfRule>
  </conditionalFormatting>
  <conditionalFormatting sqref="F98:F106">
    <cfRule type="expression" dxfId="55" priority="71" stopIfTrue="1">
      <formula>IF($AN68="AAA",TRUE,FALSE)</formula>
    </cfRule>
    <cfRule type="expression" dxfId="54" priority="72" stopIfTrue="1">
      <formula>IF($T293="AAA",TRUE,FALSE)</formula>
    </cfRule>
    <cfRule type="expression" dxfId="53" priority="73" stopIfTrue="1">
      <formula>IF($U293="AAA",TRUE,FALSE)</formula>
    </cfRule>
  </conditionalFormatting>
  <conditionalFormatting sqref="G16:G26 G2:G12 G30:G41">
    <cfRule type="cellIs" dxfId="52" priority="64" stopIfTrue="1" operator="lessThan">
      <formula>0</formula>
    </cfRule>
    <cfRule type="cellIs" dxfId="51" priority="65" stopIfTrue="1" operator="greaterThanOrEqual">
      <formula>#REF!</formula>
    </cfRule>
  </conditionalFormatting>
  <conditionalFormatting sqref="G16:G28 G2:G12">
    <cfRule type="cellIs" dxfId="50" priority="37" stopIfTrue="1" operator="lessThan">
      <formula>0</formula>
    </cfRule>
  </conditionalFormatting>
  <conditionalFormatting sqref="G16:G26 G2:G12 G30:G41">
    <cfRule type="cellIs" dxfId="49" priority="63" operator="greaterThan">
      <formula>#REF!</formula>
    </cfRule>
  </conditionalFormatting>
  <conditionalFormatting sqref="G43:G54 G56:G67 G30:G41">
    <cfRule type="cellIs" dxfId="48" priority="54" stopIfTrue="1" operator="lessThan">
      <formula>0</formula>
    </cfRule>
  </conditionalFormatting>
  <conditionalFormatting sqref="G43:G54">
    <cfRule type="cellIs" dxfId="47" priority="42" stopIfTrue="1" operator="lessThan">
      <formula>0</formula>
    </cfRule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53:G54"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56:G67">
    <cfRule type="cellIs" dxfId="40" priority="55" operator="greaterThan">
      <formula>#REF!</formula>
    </cfRule>
    <cfRule type="cellIs" dxfId="39" priority="56" stopIfTrue="1" operator="lessThan">
      <formula>0</formula>
    </cfRule>
    <cfRule type="cellIs" dxfId="38" priority="57" stopIfTrue="1" operator="greaterThanOrEqual">
      <formula>#REF!</formula>
    </cfRule>
  </conditionalFormatting>
  <conditionalFormatting sqref="G69:G80">
    <cfRule type="cellIs" dxfId="37" priority="38" stopIfTrue="1" operator="lessThan">
      <formula>0</formula>
    </cfRule>
    <cfRule type="cellIs" dxfId="36" priority="39" operator="greaterThan">
      <formula>#REF!</formula>
    </cfRule>
    <cfRule type="cellIs" dxfId="35" priority="40" stopIfTrue="1" operator="lessThan">
      <formula>0</formula>
    </cfRule>
    <cfRule type="cellIs" dxfId="34" priority="41" stopIfTrue="1" operator="greaterThanOrEqual">
      <formula>#REF!</formula>
    </cfRule>
  </conditionalFormatting>
  <conditionalFormatting sqref="G82:G92">
    <cfRule type="cellIs" dxfId="33" priority="50" stopIfTrue="1" operator="lessThan">
      <formula>0</formula>
    </cfRule>
    <cfRule type="cellIs" dxfId="32" priority="51" operator="greaterThan">
      <formula>#REF!</formula>
    </cfRule>
    <cfRule type="cellIs" dxfId="31" priority="52" stopIfTrue="1" operator="lessThan">
      <formula>0</formula>
    </cfRule>
    <cfRule type="cellIs" dxfId="30" priority="53" stopIfTrue="1" operator="greaterThanOrEqual">
      <formula>#REF!</formula>
    </cfRule>
  </conditionalFormatting>
  <conditionalFormatting sqref="G96:G106">
    <cfRule type="cellIs" dxfId="29" priority="46" stopIfTrue="1" operator="lessThan">
      <formula>0</formula>
    </cfRule>
    <cfRule type="cellIs" dxfId="28" priority="47" operator="greaterThan">
      <formula>#REF!</formula>
    </cfRule>
    <cfRule type="cellIs" dxfId="27" priority="48" stopIfTrue="1" operator="lessThan">
      <formula>0</formula>
    </cfRule>
    <cfRule type="cellIs" dxfId="26" priority="49" stopIfTrue="1" operator="greaterThanOrEqual">
      <formula>#REF!</formula>
    </cfRule>
  </conditionalFormatting>
  <conditionalFormatting sqref="H81">
    <cfRule type="cellIs" dxfId="25" priority="27" operator="greaterThan">
      <formula>$H81</formula>
    </cfRule>
  </conditionalFormatting>
  <conditionalFormatting sqref="F67">
    <cfRule type="expression" dxfId="24" priority="83" stopIfTrue="1">
      <formula>IF(#REF!="AAA",TRUE,FALSE)</formula>
    </cfRule>
    <cfRule type="expression" dxfId="23" priority="84" stopIfTrue="1">
      <formula>IF($AK39="AAA",TRUE,FALSE)</formula>
    </cfRule>
    <cfRule type="expression" dxfId="22" priority="85" stopIfTrue="1">
      <formula>IF($T265="AAA",TRUE,FALSE)</formula>
    </cfRule>
    <cfRule type="expression" dxfId="21" priority="86" stopIfTrue="1">
      <formula>IF($U265="AAA",TRUE,FALSE)</formula>
    </cfRule>
  </conditionalFormatting>
  <conditionalFormatting sqref="F82">
    <cfRule type="expression" dxfId="20" priority="87" stopIfTrue="1">
      <formula>IF($AJ53="AAA",TRUE,FALSE)</formula>
    </cfRule>
    <cfRule type="expression" dxfId="19" priority="88" stopIfTrue="1">
      <formula>IF($T278="AAA",TRUE,FALSE)</formula>
    </cfRule>
    <cfRule type="expression" dxfId="18" priority="89" stopIfTrue="1">
      <formula>IF($U278="AAA",TRUE,FALSE)</formula>
    </cfRule>
  </conditionalFormatting>
  <conditionalFormatting sqref="F30:F39">
    <cfRule type="expression" dxfId="17" priority="13" stopIfTrue="1">
      <formula>IF(#REF!="AAA",TRUE,FALSE)</formula>
    </cfRule>
    <cfRule type="expression" dxfId="16" priority="14" stopIfTrue="1">
      <formula>IF($T228="AAA",TRUE,FALSE)</formula>
    </cfRule>
    <cfRule type="expression" dxfId="15" priority="15" stopIfTrue="1">
      <formula>IF($U228="AAA",TRUE,FALSE)</formula>
    </cfRule>
    <cfRule type="expression" dxfId="14" priority="16" stopIfTrue="1">
      <formula>IF($AN6="AAA",TRUE,FALSE)</formula>
    </cfRule>
    <cfRule type="expression" dxfId="13" priority="17" stopIfTrue="1">
      <formula>IF($T228="AAA",TRUE,FALSE)</formula>
    </cfRule>
    <cfRule type="expression" dxfId="12" priority="18" stopIfTrue="1">
      <formula>IF($U228="AAA",TRUE,FALSE)</formula>
    </cfRule>
  </conditionalFormatting>
  <conditionalFormatting sqref="F56:F65">
    <cfRule type="expression" dxfId="11" priority="7" stopIfTrue="1">
      <formula>IF(#REF!="AAA",TRUE,FALSE)</formula>
    </cfRule>
    <cfRule type="expression" dxfId="10" priority="8" stopIfTrue="1">
      <formula>IF($T255="AAA",TRUE,FALSE)</formula>
    </cfRule>
    <cfRule type="expression" dxfId="9" priority="9" stopIfTrue="1">
      <formula>IF($U255="AAA",TRUE,FALSE)</formula>
    </cfRule>
    <cfRule type="expression" dxfId="8" priority="10" stopIfTrue="1">
      <formula>IF($AN30="AAA",TRUE,FALSE)</formula>
    </cfRule>
    <cfRule type="expression" dxfId="7" priority="11" stopIfTrue="1">
      <formula>IF($T255="AAA",TRUE,FALSE)</formula>
    </cfRule>
    <cfRule type="expression" dxfId="6" priority="12" stopIfTrue="1">
      <formula>IF($U255="AAA",TRUE,FALSE)</formula>
    </cfRule>
  </conditionalFormatting>
  <conditionalFormatting sqref="F69:F78">
    <cfRule type="expression" dxfId="5" priority="1" stopIfTrue="1">
      <formula>IF(#REF!="AAA",TRUE,FALSE)</formula>
    </cfRule>
    <cfRule type="expression" dxfId="4" priority="2" stopIfTrue="1">
      <formula>IF($T268="AAA",TRUE,FALSE)</formula>
    </cfRule>
    <cfRule type="expression" dxfId="3" priority="3" stopIfTrue="1">
      <formula>IF($U268="AAA",TRUE,FALSE)</formula>
    </cfRule>
    <cfRule type="expression" dxfId="2" priority="4" stopIfTrue="1">
      <formula>IF($AN43="AAA",TRUE,FALSE)</formula>
    </cfRule>
    <cfRule type="expression" dxfId="1" priority="5" stopIfTrue="1">
      <formula>IF($T268="AAA",TRUE,FALSE)</formula>
    </cfRule>
    <cfRule type="expression" dxfId="0" priority="6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2026-10-16T17:22:42Z</dcterms:modified>
</cp:coreProperties>
</file>